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o 2025" sheetId="1" r:id="rId4"/>
    <sheet state="visible" name="PROFLETRAS" sheetId="2" r:id="rId5"/>
  </sheets>
  <definedNames>
    <definedName hidden="1" localSheetId="1" name="_xlnm._FilterDatabase">PROFLETRAS!$C$1:$C$121</definedName>
  </definedNames>
  <calcPr/>
  <extLst>
    <ext uri="GoogleSheetsCustomDataVersion2">
      <go:sheetsCustomData xmlns:go="http://customooxmlschemas.google.com/" r:id="rId6" roundtripDataChecksum="U8eHeGcRTZVFZfgRGGdV5z/P3z5v+esSnRY1iAQTrps="/>
    </ext>
  </extLst>
</workbook>
</file>

<file path=xl/sharedStrings.xml><?xml version="1.0" encoding="utf-8"?>
<sst xmlns="http://schemas.openxmlformats.org/spreadsheetml/2006/main" count="522" uniqueCount="165">
  <si>
    <r>
      <rPr>
        <rFont val="Calibri"/>
        <b/>
        <color rgb="FFD8D8D8"/>
        <sz val="14.0"/>
      </rPr>
      <t xml:space="preserve">CENSO PÓS-GRADUAÇÃO </t>
    </r>
    <r>
      <rPr>
        <rFont val="Calibri"/>
        <b/>
        <i/>
        <color rgb="FFD8D8D8"/>
        <sz val="14.0"/>
      </rPr>
      <t>Stricto sensu</t>
    </r>
    <r>
      <rPr>
        <rFont val="Calibri"/>
        <b/>
        <color rgb="FFD8D8D8"/>
        <sz val="14.0"/>
      </rPr>
      <t xml:space="preserve"> UPE</t>
    </r>
  </si>
  <si>
    <t>PROGRAMA</t>
  </si>
  <si>
    <t>SITUAÇÃO</t>
  </si>
  <si>
    <t>NIVEL</t>
  </si>
  <si>
    <t>MASCULINO</t>
  </si>
  <si>
    <t>FEMININO</t>
  </si>
  <si>
    <t>TOTAL</t>
  </si>
  <si>
    <t>BIOLOGIA CELULAR E MOLECULAR APLICADA</t>
  </si>
  <si>
    <t>MATRICULADO</t>
  </si>
  <si>
    <t>MESTRADO</t>
  </si>
  <si>
    <t>DOUTORADO</t>
  </si>
  <si>
    <t>TITULADO</t>
  </si>
  <si>
    <t>DESLIGADO/ABANDONO</t>
  </si>
  <si>
    <t>CIÊNCIA E TECNOLOGIA AMBIENTAL</t>
  </si>
  <si>
    <t>CIENCIAS DA SAUDE</t>
  </si>
  <si>
    <t>EDUCAÇÃO</t>
  </si>
  <si>
    <t>EDUCAÇÃO FÍSICA ACADÊMICO</t>
  </si>
  <si>
    <t>EDUCAÇÃO FÍSICA PROFISSIONAL</t>
  </si>
  <si>
    <t>EDUCAÇÃO INCLUSIVA</t>
  </si>
  <si>
    <t>ENFERMAGEM</t>
  </si>
  <si>
    <t>ENGENHARIA CIVIL</t>
  </si>
  <si>
    <t>ENGENHARIA COMPUTAÇÃO</t>
  </si>
  <si>
    <t>ENGENHARIA DE SISTEMAS</t>
  </si>
  <si>
    <t>ENSINO DE HISTÓRIA</t>
  </si>
  <si>
    <t>ETNOBIOLOGIA E CONSERVAÇÃO DA NATUREZA</t>
  </si>
  <si>
    <t>FORMAÇÃO DE PROFESSORES E PRÁTICAS INTERDISCIPLINARES</t>
  </si>
  <si>
    <t>GESTÃO DO DESENVOLVIMENTO LOCAL SUSTENTÁVEL</t>
  </si>
  <si>
    <t>HEBIATRIA</t>
  </si>
  <si>
    <t>LETRAS - Mata Norte</t>
  </si>
  <si>
    <t>LETRAS - Garanhuns</t>
  </si>
  <si>
    <t>LETRAS - Petrolina</t>
  </si>
  <si>
    <t>ODONTOLOGIA</t>
  </si>
  <si>
    <t>PERÍCIAS FORENSES</t>
  </si>
  <si>
    <t>PRÁTICAS E INOVAÇÃO EM SAÚDE MENTAL</t>
  </si>
  <si>
    <t>PROCESSOS E PRODUTOS EDUCACIONAIS</t>
  </si>
  <si>
    <t>REABILITAÇÃO E DESEMPENHO FUNCIONAL</t>
  </si>
  <si>
    <t>SAÚDE COLETIVA</t>
  </si>
  <si>
    <t>SAÚDE E DESENVOLVIMENTO SOCIOAMBIENTAL</t>
  </si>
  <si>
    <t>PROFNIT</t>
  </si>
  <si>
    <t>TOTAL MATRICULADOS</t>
  </si>
  <si>
    <t>TOTAL TITULADOS</t>
  </si>
  <si>
    <t>TOTAL MASCULINO</t>
  </si>
  <si>
    <t>TOTAL FEMININO</t>
  </si>
  <si>
    <t>Stricto sensu</t>
  </si>
  <si>
    <t>QUANTIDADE DE ALUNOS POR UNIDADE</t>
  </si>
  <si>
    <t>FOP</t>
  </si>
  <si>
    <t>FCM</t>
  </si>
  <si>
    <t>FENSG</t>
  </si>
  <si>
    <t>ESEF</t>
  </si>
  <si>
    <t>ICB</t>
  </si>
  <si>
    <t>POLI</t>
  </si>
  <si>
    <t>FCAP</t>
  </si>
  <si>
    <t>MATA NORTE</t>
  </si>
  <si>
    <t>GARANHUNS</t>
  </si>
  <si>
    <t>PETROLINA</t>
  </si>
  <si>
    <t>MATRICULADOS</t>
  </si>
  <si>
    <t>Discente</t>
  </si>
  <si>
    <t>Unidade</t>
  </si>
  <si>
    <t>adalto carlos da conceicao</t>
  </si>
  <si>
    <t>aline barbosa da silva</t>
  </si>
  <si>
    <t>ana carolina brito de moraes</t>
  </si>
  <si>
    <t>ana samara leite da silva</t>
  </si>
  <si>
    <t>andreia macia de oliveira</t>
  </si>
  <si>
    <t>anna carolina de souza gomes</t>
  </si>
  <si>
    <t>anne suelen de melo luna</t>
  </si>
  <si>
    <t>caroline cristina portela araujo</t>
  </si>
  <si>
    <t>cintia karine costa cordeiro torres</t>
  </si>
  <si>
    <t>cristiane lopes da silva bezerra</t>
  </si>
  <si>
    <t>daniele correia de lima silva</t>
  </si>
  <si>
    <t>diana gomes ferreira</t>
  </si>
  <si>
    <t>diana sheila valeriano lopes</t>
  </si>
  <si>
    <t>divanilda dantas de melo ferreira</t>
  </si>
  <si>
    <t>edna silva vasconcelos marques</t>
  </si>
  <si>
    <t>eduardo osvaldo da silva</t>
  </si>
  <si>
    <t>elaine torres nascimento</t>
  </si>
  <si>
    <t>elisandra nunes pereira</t>
  </si>
  <si>
    <t>ellen karollyne tavares da silva</t>
  </si>
  <si>
    <t>fatima alves da silva</t>
  </si>
  <si>
    <t>felipe rodrigues de souza</t>
  </si>
  <si>
    <t>franciely caetano da silva</t>
  </si>
  <si>
    <t>francisco jose tavares de lemos</t>
  </si>
  <si>
    <t>geni mendes</t>
  </si>
  <si>
    <t>gleisson da silva figueredo</t>
  </si>
  <si>
    <t>grace feitoza jaguaribe lima</t>
  </si>
  <si>
    <t>grace kelly souza evangelista</t>
  </si>
  <si>
    <t>helena dias de almeida bisneta</t>
  </si>
  <si>
    <t>ingrid mickelle alexandre do sacramento</t>
  </si>
  <si>
    <t>isabela priscila do nascimento silva</t>
  </si>
  <si>
    <t>jair vieira de andrade junior</t>
  </si>
  <si>
    <t>jamilly apolinario dos santos cavalcanti</t>
  </si>
  <si>
    <t>jefferson de oliveira silva</t>
  </si>
  <si>
    <t>jose andre da silva</t>
  </si>
  <si>
    <t>jose andre de lira da silva</t>
  </si>
  <si>
    <t>josefa edjane cordeiro alves</t>
  </si>
  <si>
    <t>josefa rosimere da silva lima</t>
  </si>
  <si>
    <t>joyce de freitas cardoso</t>
  </si>
  <si>
    <t>juciano santos soares da silva</t>
  </si>
  <si>
    <t>juliana correia silva</t>
  </si>
  <si>
    <t>juliana virginia barbosa da silva</t>
  </si>
  <si>
    <t>julianna perola goncalves leimig rodrigues</t>
  </si>
  <si>
    <t>juliany maria dos santos</t>
  </si>
  <si>
    <t>kamilla regina rodrigues de moraes ramos</t>
  </si>
  <si>
    <t>karolina magalhaes moraes carneiro pessoa</t>
  </si>
  <si>
    <t>kassia patricia chaves vieira alves de oliveira campos</t>
  </si>
  <si>
    <t>keila roberta torres maciel</t>
  </si>
  <si>
    <t>laercio de lima</t>
  </si>
  <si>
    <t>lara carvalho assuncao e souza</t>
  </si>
  <si>
    <t>lidia da silva santos</t>
  </si>
  <si>
    <t>liliane de souza almeida</t>
  </si>
  <si>
    <t>luann henrique da rocha vieira</t>
  </si>
  <si>
    <t>luciana de santana guimaraes</t>
  </si>
  <si>
    <t>manoela do nascimento silva</t>
  </si>
  <si>
    <t>marcelle maria dantas barros</t>
  </si>
  <si>
    <t>marcia cristina nogueira da silva</t>
  </si>
  <si>
    <t>marcio luciano vilela de lima</t>
  </si>
  <si>
    <t>maria das dores andrade de lima</t>
  </si>
  <si>
    <t>maria ivane de souza silva duarte</t>
  </si>
  <si>
    <t>maria iziane bezerra de oliveira</t>
  </si>
  <si>
    <t>maria jose carlos da silva oliveira</t>
  </si>
  <si>
    <t>maria luiza da silva</t>
  </si>
  <si>
    <t>mayara margarida da silva</t>
  </si>
  <si>
    <t>mayra patricia andre dos santos</t>
  </si>
  <si>
    <t>mickaelly evelyn costa da silva</t>
  </si>
  <si>
    <t>monica patricia da silva pires</t>
  </si>
  <si>
    <t>nataly de moura silva</t>
  </si>
  <si>
    <t>paula karina mendes</t>
  </si>
  <si>
    <t>paula maria da silva gomes ferreira</t>
  </si>
  <si>
    <t>paulo cesar da silva</t>
  </si>
  <si>
    <t>paulo fernando medeiros epaminondas</t>
  </si>
  <si>
    <t>paulo henrique alves da silva</t>
  </si>
  <si>
    <t>paulo jose da silva</t>
  </si>
  <si>
    <t>poliana mireli barbosa leite</t>
  </si>
  <si>
    <t>pollyanne carlos da silva</t>
  </si>
  <si>
    <t>rafaela de lira nascimento</t>
  </si>
  <si>
    <t>renan belarmino viana da silva</t>
  </si>
  <si>
    <t>renata leandra maria de oliveira</t>
  </si>
  <si>
    <t>roberta pereira da silva cardoso</t>
  </si>
  <si>
    <t>rosangela farias da silva</t>
  </si>
  <si>
    <t>roseane paixao correia</t>
  </si>
  <si>
    <t>rosiane maria da cruz lima</t>
  </si>
  <si>
    <t>samara cavalcanti da silva</t>
  </si>
  <si>
    <t>sara larissa carvalho eloi</t>
  </si>
  <si>
    <t>suelen andrade batista</t>
  </si>
  <si>
    <t>taciana martins de oliveira alves</t>
  </si>
  <si>
    <t>tulio cesar nascimento de miranda</t>
  </si>
  <si>
    <t>urania alves da fonseca</t>
  </si>
  <si>
    <t>valquiria claudino pereira</t>
  </si>
  <si>
    <t>vandresson alan alves pereira</t>
  </si>
  <si>
    <t>victor costa da silva</t>
  </si>
  <si>
    <t>viviane susy de oliveira pereira</t>
  </si>
  <si>
    <t>wenneer porfirio bezerra de pontes</t>
  </si>
  <si>
    <t>willian felipe dias da silva</t>
  </si>
  <si>
    <t>TITULADOS</t>
  </si>
  <si>
    <t>acacy ferreira do nascimento</t>
  </si>
  <si>
    <t>ana luiza gomes ferreira</t>
  </si>
  <si>
    <t>eduardo de santana romao andrade</t>
  </si>
  <si>
    <t>eduardo joao da silva</t>
  </si>
  <si>
    <t>elba silva de farias</t>
  </si>
  <si>
    <t>jadson mardones da silva do rego</t>
  </si>
  <si>
    <t>joao batista da silva</t>
  </si>
  <si>
    <t>jose pereira de barros</t>
  </si>
  <si>
    <t>petronio silva barbosa</t>
  </si>
  <si>
    <t>raile cabral barbosa</t>
  </si>
  <si>
    <t>rita de cassia da silva cavalcante</t>
  </si>
  <si>
    <t>ueudja germano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</si>
</sst>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4.0"/>
      <color rgb="FFD8D8D8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4.0"/>
      <color rgb="FF333333"/>
      <name val="Arial"/>
    </font>
    <font>
      <b/>
      <sz val="12.0"/>
      <color rgb="FF333333"/>
      <name val="Font Awesome 6 Free"/>
    </font>
    <font>
      <b/>
      <sz val="16.0"/>
      <color rgb="FF333333"/>
      <name val="Font Awesome 6 Free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77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/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 style="medium">
        <color rgb="FF000000"/>
      </right>
      <top style="medium">
        <color rgb="FF000000"/>
      </top>
      <bottom style="double">
        <color rgb="FF000000"/>
      </bottom>
    </border>
    <border>
      <left/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4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4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shrinkToFit="0" vertical="center" wrapText="1"/>
    </xf>
    <xf borderId="20" fillId="4" fontId="4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7" fillId="5" fontId="3" numFmtId="0" xfId="0" applyAlignment="1" applyBorder="1" applyFill="1" applyFont="1">
      <alignment horizontal="center" vertical="center"/>
    </xf>
    <xf borderId="9" fillId="5" fontId="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center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15" fillId="5" fontId="3" numFmtId="0" xfId="0" applyAlignment="1" applyBorder="1" applyFont="1">
      <alignment horizontal="center" vertical="center"/>
    </xf>
    <xf borderId="16" fillId="5" fontId="3" numFmtId="0" xfId="0" applyAlignment="1" applyBorder="1" applyFont="1">
      <alignment horizontal="center" vertical="center"/>
    </xf>
    <xf borderId="17" fillId="5" fontId="3" numFmtId="0" xfId="0" applyAlignment="1" applyBorder="1" applyFont="1">
      <alignment horizontal="center" vertical="center"/>
    </xf>
    <xf borderId="17" fillId="5" fontId="3" numFmtId="0" xfId="0" applyAlignment="1" applyBorder="1" applyFont="1">
      <alignment horizontal="center" shrinkToFit="0" vertical="center" wrapText="1"/>
    </xf>
    <xf borderId="16" fillId="5" fontId="4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shrinkToFit="0" vertical="center" wrapText="1"/>
    </xf>
    <xf borderId="20" fillId="5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6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shrinkToFit="0" vertical="center" wrapText="1"/>
    </xf>
    <xf borderId="26" fillId="5" fontId="4" numFmtId="0" xfId="0" applyAlignment="1" applyBorder="1" applyFont="1">
      <alignment horizontal="center" shrinkToFit="0" vertical="center" wrapText="1"/>
    </xf>
    <xf borderId="28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shrinkToFit="0" vertical="center" wrapText="1"/>
    </xf>
    <xf borderId="28" fillId="5" fontId="4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shrinkToFit="0" vertical="center" wrapText="1"/>
    </xf>
    <xf borderId="34" fillId="5" fontId="3" numFmtId="0" xfId="0" applyAlignment="1" applyBorder="1" applyFont="1">
      <alignment horizontal="center" vertical="center"/>
    </xf>
    <xf borderId="20" fillId="5" fontId="3" numFmtId="0" xfId="0" applyAlignment="1" applyBorder="1" applyFont="1">
      <alignment horizontal="center" vertical="center"/>
    </xf>
    <xf borderId="20" fillId="5" fontId="3" numFmtId="0" xfId="0" applyAlignment="1" applyBorder="1" applyFont="1">
      <alignment horizontal="center" shrinkToFit="0" vertical="center" wrapText="1"/>
    </xf>
    <xf borderId="35" fillId="5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readingOrder="0" vertical="center"/>
    </xf>
    <xf borderId="13" fillId="5" fontId="3" numFmtId="0" xfId="0" applyAlignment="1" applyBorder="1" applyFont="1">
      <alignment horizontal="center" readingOrder="0" vertical="center"/>
    </xf>
    <xf borderId="13" fillId="5" fontId="3" numFmtId="0" xfId="0" applyAlignment="1" applyBorder="1" applyFont="1">
      <alignment horizontal="center" readingOrder="0" shrinkToFit="0" vertical="center" wrapText="1"/>
    </xf>
    <xf borderId="17" fillId="5" fontId="3" numFmtId="0" xfId="0" applyAlignment="1" applyBorder="1" applyFont="1">
      <alignment horizontal="center" readingOrder="0" vertical="center"/>
    </xf>
    <xf borderId="17" fillId="5" fontId="3" numFmtId="0" xfId="0" applyAlignment="1" applyBorder="1" applyFont="1">
      <alignment horizontal="center" readingOrder="0" shrinkToFit="0" vertical="center" wrapText="1"/>
    </xf>
    <xf borderId="19" fillId="5" fontId="3" numFmtId="0" xfId="0" applyAlignment="1" applyBorder="1" applyFont="1">
      <alignment horizontal="center" readingOrder="0" vertical="center"/>
    </xf>
    <xf borderId="19" fillId="5" fontId="3" numFmtId="0" xfId="0" applyAlignment="1" applyBorder="1" applyFont="1">
      <alignment horizontal="center" readingOrder="0" shrinkToFit="0" vertical="center" wrapText="1"/>
    </xf>
    <xf borderId="37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shrinkToFit="0" vertical="center" wrapText="1"/>
    </xf>
    <xf borderId="32" fillId="5" fontId="3" numFmtId="0" xfId="0" applyAlignment="1" applyBorder="1" applyFont="1">
      <alignment horizontal="center" vertical="center"/>
    </xf>
    <xf borderId="39" fillId="5" fontId="3" numFmtId="0" xfId="0" applyAlignment="1" applyBorder="1" applyFont="1">
      <alignment horizontal="center" vertical="center"/>
    </xf>
    <xf borderId="39" fillId="5" fontId="3" numFmtId="0" xfId="0" applyAlignment="1" applyBorder="1" applyFont="1">
      <alignment horizontal="center" shrinkToFit="0" vertical="center" wrapText="1"/>
    </xf>
    <xf borderId="35" fillId="5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shrinkToFit="0" vertical="center" wrapText="1"/>
    </xf>
    <xf borderId="40" fillId="0" fontId="4" numFmtId="0" xfId="0" applyAlignment="1" applyBorder="1" applyFont="1">
      <alignment horizontal="center" shrinkToFit="0" vertical="center" wrapText="1"/>
    </xf>
    <xf borderId="30" fillId="5" fontId="4" numFmtId="0" xfId="0" applyAlignment="1" applyBorder="1" applyFont="1">
      <alignment horizontal="center" shrinkToFit="0" vertical="center" wrapText="1"/>
    </xf>
    <xf borderId="31" fillId="5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3" fillId="5" fontId="3" numFmtId="0" xfId="0" applyAlignment="1" applyBorder="1" applyFont="1">
      <alignment horizontal="center" vertical="center"/>
    </xf>
    <xf borderId="35" fillId="5" fontId="4" numFmtId="0" xfId="0" applyAlignment="1" applyBorder="1" applyFont="1">
      <alignment horizontal="center" shrinkToFit="0" vertical="center" wrapText="1"/>
    </xf>
    <xf borderId="44" fillId="0" fontId="6" numFmtId="0" xfId="0" applyAlignment="1" applyBorder="1" applyFont="1">
      <alignment horizontal="center"/>
    </xf>
    <xf borderId="45" fillId="0" fontId="2" numFmtId="0" xfId="0" applyBorder="1" applyFont="1"/>
    <xf borderId="46" fillId="0" fontId="2" numFmtId="0" xfId="0" applyBorder="1" applyFont="1"/>
    <xf borderId="4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47" fillId="0" fontId="6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center" vertical="center"/>
    </xf>
    <xf borderId="49" fillId="0" fontId="2" numFmtId="0" xfId="0" applyBorder="1" applyFont="1"/>
    <xf borderId="50" fillId="0" fontId="6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6" numFmtId="0" xfId="0" applyAlignment="1" applyBorder="1" applyFont="1">
      <alignment horizontal="center" vertical="center"/>
    </xf>
    <xf borderId="53" fillId="0" fontId="2" numFmtId="0" xfId="0" applyBorder="1" applyFont="1"/>
    <xf borderId="54" fillId="0" fontId="6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0" fontId="6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58" fillId="6" fontId="6" numFmtId="0" xfId="0" applyAlignment="1" applyBorder="1" applyFill="1" applyFont="1">
      <alignment horizontal="center" vertical="center"/>
    </xf>
    <xf borderId="48" fillId="6" fontId="6" numFmtId="0" xfId="0" applyAlignment="1" applyBorder="1" applyFont="1">
      <alignment horizontal="center" vertical="center"/>
    </xf>
    <xf borderId="50" fillId="6" fontId="6" numFmtId="0" xfId="0" applyAlignment="1" applyBorder="1" applyFont="1">
      <alignment horizontal="center" vertical="center"/>
    </xf>
    <xf borderId="59" fillId="0" fontId="2" numFmtId="0" xfId="0" applyBorder="1" applyFont="1"/>
    <xf borderId="60" fillId="6" fontId="6" numFmtId="0" xfId="0" applyAlignment="1" applyBorder="1" applyFont="1">
      <alignment horizontal="center" vertical="center"/>
    </xf>
    <xf borderId="61" fillId="0" fontId="2" numFmtId="0" xfId="0" applyBorder="1" applyFont="1"/>
    <xf borderId="62" fillId="6" fontId="6" numFmtId="0" xfId="0" applyAlignment="1" applyBorder="1" applyFont="1">
      <alignment horizontal="center" vertical="center"/>
    </xf>
    <xf borderId="63" fillId="0" fontId="2" numFmtId="0" xfId="0" applyBorder="1" applyFont="1"/>
    <xf borderId="44" fillId="6" fontId="6" numFmtId="0" xfId="0" applyAlignment="1" applyBorder="1" applyFont="1">
      <alignment horizontal="center"/>
    </xf>
    <xf borderId="64" fillId="0" fontId="2" numFmtId="0" xfId="0" applyBorder="1" applyFont="1"/>
    <xf borderId="57" fillId="6" fontId="6" numFmtId="0" xfId="0" applyAlignment="1" applyBorder="1" applyFont="1">
      <alignment horizontal="center" vertical="center"/>
    </xf>
    <xf borderId="65" fillId="7" fontId="6" numFmtId="0" xfId="0" applyAlignment="1" applyBorder="1" applyFill="1" applyFont="1">
      <alignment horizontal="center"/>
    </xf>
    <xf borderId="66" fillId="0" fontId="2" numFmtId="0" xfId="0" applyBorder="1" applyFont="1"/>
    <xf borderId="21" fillId="0" fontId="2" numFmtId="0" xfId="0" applyBorder="1" applyFont="1"/>
    <xf borderId="67" fillId="0" fontId="6" numFmtId="0" xfId="0" applyAlignment="1" applyBorder="1" applyFont="1">
      <alignment horizontal="center" vertical="center"/>
    </xf>
    <xf borderId="68" fillId="0" fontId="6" numFmtId="0" xfId="0" applyAlignment="1" applyBorder="1" applyFont="1">
      <alignment horizontal="center"/>
    </xf>
    <xf borderId="69" fillId="0" fontId="2" numFmtId="0" xfId="0" applyBorder="1" applyFont="1"/>
    <xf borderId="70" fillId="0" fontId="6" numFmtId="0" xfId="0" applyAlignment="1" applyBorder="1" applyFont="1">
      <alignment horizontal="center" vertical="center"/>
    </xf>
    <xf borderId="71" fillId="0" fontId="2" numFmtId="0" xfId="0" applyBorder="1" applyFont="1"/>
    <xf borderId="68" fillId="5" fontId="6" numFmtId="0" xfId="0" applyAlignment="1" applyBorder="1" applyFont="1">
      <alignment horizontal="center"/>
    </xf>
    <xf borderId="70" fillId="5" fontId="6" numFmtId="0" xfId="0" applyAlignment="1" applyBorder="1" applyFont="1">
      <alignment horizontal="center" vertical="center"/>
    </xf>
    <xf borderId="72" fillId="0" fontId="6" numFmtId="0" xfId="0" applyBorder="1" applyFont="1"/>
    <xf borderId="73" fillId="0" fontId="6" numFmtId="0" xfId="0" applyBorder="1" applyFont="1"/>
    <xf borderId="73" fillId="0" fontId="6" numFmtId="0" xfId="0" applyAlignment="1" applyBorder="1" applyFont="1">
      <alignment horizontal="center"/>
    </xf>
    <xf borderId="74" fillId="5" fontId="6" numFmtId="0" xfId="0" applyAlignment="1" applyBorder="1" applyFont="1">
      <alignment horizontal="center"/>
    </xf>
    <xf borderId="75" fillId="0" fontId="2" numFmtId="0" xfId="0" applyBorder="1" applyFont="1"/>
    <xf borderId="76" fillId="5" fontId="6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7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Número de discentes PG Stricto sensu - UPE (08.2023)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'Censo 2025'!$E$2:$G$2</c:f>
            </c:strRef>
          </c:cat>
          <c:val>
            <c:numRef>
              <c:f>'Censo 2025'!$E$132:$G$132</c:f>
              <c:numCache/>
            </c:numRef>
          </c:val>
        </c:ser>
        <c:axId val="227614738"/>
        <c:axId val="1829153263"/>
      </c:barChart>
      <c:catAx>
        <c:axId val="227614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9153263"/>
      </c:catAx>
      <c:valAx>
        <c:axId val="1829153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761473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</xdr:row>
      <xdr:rowOff>9525</xdr:rowOff>
    </xdr:from>
    <xdr:ext cx="5324475" cy="5562600"/>
    <xdr:graphicFrame>
      <xdr:nvGraphicFramePr>
        <xdr:cNvPr id="193870579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50.11"/>
    <col customWidth="1" min="4" max="4" width="12.11"/>
    <col customWidth="1" min="5" max="5" width="13.67"/>
    <col customWidth="1" min="6" max="6" width="13.44"/>
    <col customWidth="1" min="7" max="26" width="10.56"/>
  </cols>
  <sheetData>
    <row r="1" ht="15.75" customHeight="1">
      <c r="B1" s="1" t="s">
        <v>0</v>
      </c>
      <c r="C1" s="2"/>
      <c r="D1" s="2"/>
      <c r="E1" s="2"/>
      <c r="F1" s="2"/>
      <c r="G1" s="3"/>
    </row>
    <row r="2" ht="15.75" customHeight="1">
      <c r="B2" s="4" t="s">
        <v>1</v>
      </c>
      <c r="C2" s="5" t="s">
        <v>2</v>
      </c>
      <c r="D2" s="6" t="s">
        <v>3</v>
      </c>
      <c r="E2" s="6" t="s">
        <v>4</v>
      </c>
      <c r="F2" s="7" t="s">
        <v>5</v>
      </c>
      <c r="G2" s="7" t="s">
        <v>6</v>
      </c>
    </row>
    <row r="3" ht="15.75" customHeight="1">
      <c r="B3" s="8" t="s">
        <v>7</v>
      </c>
      <c r="C3" s="9" t="s">
        <v>8</v>
      </c>
      <c r="D3" s="10" t="s">
        <v>9</v>
      </c>
      <c r="E3" s="11">
        <v>12.0</v>
      </c>
      <c r="F3" s="12">
        <v>31.0</v>
      </c>
      <c r="G3" s="13">
        <f t="shared" ref="G3:G131" si="1">SUM(E3:F3)</f>
        <v>43</v>
      </c>
    </row>
    <row r="4" ht="15.75" customHeight="1">
      <c r="B4" s="14"/>
      <c r="C4" s="15"/>
      <c r="D4" s="16" t="s">
        <v>10</v>
      </c>
      <c r="E4" s="16">
        <v>23.0</v>
      </c>
      <c r="F4" s="17">
        <v>35.0</v>
      </c>
      <c r="G4" s="18">
        <f t="shared" si="1"/>
        <v>58</v>
      </c>
    </row>
    <row r="5" ht="15.75" customHeight="1">
      <c r="B5" s="14"/>
      <c r="C5" s="19" t="s">
        <v>11</v>
      </c>
      <c r="D5" s="20" t="s">
        <v>9</v>
      </c>
      <c r="E5" s="21">
        <v>3.0</v>
      </c>
      <c r="F5" s="22">
        <v>6.0</v>
      </c>
      <c r="G5" s="23">
        <f t="shared" si="1"/>
        <v>9</v>
      </c>
    </row>
    <row r="6" ht="15.75" customHeight="1">
      <c r="B6" s="14"/>
      <c r="C6" s="15"/>
      <c r="D6" s="16" t="s">
        <v>10</v>
      </c>
      <c r="E6" s="16">
        <v>3.0</v>
      </c>
      <c r="F6" s="17">
        <v>4.0</v>
      </c>
      <c r="G6" s="18">
        <f t="shared" si="1"/>
        <v>7</v>
      </c>
    </row>
    <row r="7" ht="15.75" customHeight="1">
      <c r="B7" s="14"/>
      <c r="C7" s="19" t="s">
        <v>12</v>
      </c>
      <c r="D7" s="20" t="s">
        <v>9</v>
      </c>
      <c r="E7" s="21">
        <v>1.0</v>
      </c>
      <c r="F7" s="22">
        <v>0.0</v>
      </c>
      <c r="G7" s="23">
        <f t="shared" si="1"/>
        <v>1</v>
      </c>
    </row>
    <row r="8" ht="15.75" customHeight="1">
      <c r="B8" s="24"/>
      <c r="C8" s="24"/>
      <c r="D8" s="25" t="s">
        <v>10</v>
      </c>
      <c r="E8" s="25">
        <v>0.0</v>
      </c>
      <c r="F8" s="26">
        <v>0.0</v>
      </c>
      <c r="G8" s="27">
        <f t="shared" si="1"/>
        <v>0</v>
      </c>
    </row>
    <row r="9" ht="15.75" customHeight="1">
      <c r="B9" s="28" t="s">
        <v>13</v>
      </c>
      <c r="C9" s="28" t="s">
        <v>8</v>
      </c>
      <c r="D9" s="29" t="s">
        <v>9</v>
      </c>
      <c r="E9" s="30">
        <v>22.0</v>
      </c>
      <c r="F9" s="31">
        <v>36.0</v>
      </c>
      <c r="G9" s="32">
        <f t="shared" si="1"/>
        <v>58</v>
      </c>
    </row>
    <row r="10" ht="15.75" customHeight="1">
      <c r="B10" s="14"/>
      <c r="C10" s="15"/>
      <c r="D10" s="33" t="s">
        <v>10</v>
      </c>
      <c r="E10" s="33">
        <v>3.0</v>
      </c>
      <c r="F10" s="34">
        <v>7.0</v>
      </c>
      <c r="G10" s="35">
        <f t="shared" si="1"/>
        <v>10</v>
      </c>
    </row>
    <row r="11" ht="15.75" customHeight="1">
      <c r="B11" s="14"/>
      <c r="C11" s="36" t="s">
        <v>11</v>
      </c>
      <c r="D11" s="37" t="s">
        <v>9</v>
      </c>
      <c r="E11" s="38">
        <v>0.0</v>
      </c>
      <c r="F11" s="39">
        <v>12.0</v>
      </c>
      <c r="G11" s="40">
        <f t="shared" si="1"/>
        <v>12</v>
      </c>
    </row>
    <row r="12" ht="15.75" customHeight="1">
      <c r="B12" s="14"/>
      <c r="C12" s="15"/>
      <c r="D12" s="33" t="s">
        <v>10</v>
      </c>
      <c r="E12" s="33">
        <v>0.0</v>
      </c>
      <c r="F12" s="34">
        <v>0.0</v>
      </c>
      <c r="G12" s="35">
        <f t="shared" si="1"/>
        <v>0</v>
      </c>
    </row>
    <row r="13" ht="15.75" customHeight="1">
      <c r="B13" s="14"/>
      <c r="C13" s="36" t="s">
        <v>12</v>
      </c>
      <c r="D13" s="37" t="s">
        <v>9</v>
      </c>
      <c r="E13" s="38">
        <v>1.0</v>
      </c>
      <c r="F13" s="39">
        <v>1.0</v>
      </c>
      <c r="G13" s="40">
        <f t="shared" si="1"/>
        <v>2</v>
      </c>
    </row>
    <row r="14" ht="15.75" customHeight="1">
      <c r="B14" s="24"/>
      <c r="C14" s="24"/>
      <c r="D14" s="41" t="s">
        <v>10</v>
      </c>
      <c r="E14" s="41">
        <v>0.0</v>
      </c>
      <c r="F14" s="42">
        <v>1.0</v>
      </c>
      <c r="G14" s="43">
        <f t="shared" si="1"/>
        <v>1</v>
      </c>
    </row>
    <row r="15" ht="15.75" customHeight="1">
      <c r="B15" s="8" t="s">
        <v>14</v>
      </c>
      <c r="C15" s="8" t="s">
        <v>8</v>
      </c>
      <c r="D15" s="10" t="s">
        <v>9</v>
      </c>
      <c r="E15" s="11">
        <v>14.0</v>
      </c>
      <c r="F15" s="12">
        <v>19.0</v>
      </c>
      <c r="G15" s="13">
        <f t="shared" si="1"/>
        <v>33</v>
      </c>
    </row>
    <row r="16" ht="15.75" customHeight="1">
      <c r="B16" s="14"/>
      <c r="C16" s="15"/>
      <c r="D16" s="16" t="s">
        <v>10</v>
      </c>
      <c r="E16" s="16">
        <v>16.0</v>
      </c>
      <c r="F16" s="17">
        <v>35.0</v>
      </c>
      <c r="G16" s="18">
        <f t="shared" si="1"/>
        <v>51</v>
      </c>
    </row>
    <row r="17" ht="15.75" customHeight="1">
      <c r="B17" s="14"/>
      <c r="C17" s="19" t="s">
        <v>11</v>
      </c>
      <c r="D17" s="20" t="s">
        <v>9</v>
      </c>
      <c r="E17" s="21">
        <v>7.0</v>
      </c>
      <c r="F17" s="22">
        <v>9.0</v>
      </c>
      <c r="G17" s="23">
        <f t="shared" si="1"/>
        <v>16</v>
      </c>
    </row>
    <row r="18" ht="15.75" customHeight="1">
      <c r="B18" s="14"/>
      <c r="C18" s="15"/>
      <c r="D18" s="16" t="s">
        <v>10</v>
      </c>
      <c r="E18" s="16">
        <v>0.0</v>
      </c>
      <c r="F18" s="17">
        <v>2.0</v>
      </c>
      <c r="G18" s="18">
        <f t="shared" si="1"/>
        <v>2</v>
      </c>
    </row>
    <row r="19" ht="15.75" customHeight="1">
      <c r="B19" s="14"/>
      <c r="C19" s="19" t="s">
        <v>12</v>
      </c>
      <c r="D19" s="20" t="s">
        <v>9</v>
      </c>
      <c r="E19" s="21">
        <v>0.0</v>
      </c>
      <c r="F19" s="22">
        <v>0.0</v>
      </c>
      <c r="G19" s="23">
        <f t="shared" si="1"/>
        <v>0</v>
      </c>
    </row>
    <row r="20" ht="15.75" customHeight="1">
      <c r="B20" s="24"/>
      <c r="C20" s="24"/>
      <c r="D20" s="25" t="s">
        <v>10</v>
      </c>
      <c r="E20" s="25">
        <v>0.0</v>
      </c>
      <c r="F20" s="26">
        <v>0.0</v>
      </c>
      <c r="G20" s="27">
        <f t="shared" si="1"/>
        <v>0</v>
      </c>
    </row>
    <row r="21" ht="15.75" customHeight="1">
      <c r="B21" s="28" t="s">
        <v>15</v>
      </c>
      <c r="C21" s="28" t="s">
        <v>8</v>
      </c>
      <c r="D21" s="29" t="s">
        <v>9</v>
      </c>
      <c r="E21" s="30">
        <v>22.0</v>
      </c>
      <c r="F21" s="31">
        <v>45.0</v>
      </c>
      <c r="G21" s="32">
        <f t="shared" si="1"/>
        <v>67</v>
      </c>
    </row>
    <row r="22" ht="15.75" customHeight="1">
      <c r="B22" s="14"/>
      <c r="C22" s="15"/>
      <c r="D22" s="33" t="s">
        <v>10</v>
      </c>
      <c r="E22" s="33">
        <v>20.0</v>
      </c>
      <c r="F22" s="34">
        <v>23.0</v>
      </c>
      <c r="G22" s="35">
        <f t="shared" si="1"/>
        <v>43</v>
      </c>
    </row>
    <row r="23" ht="15.75" customHeight="1">
      <c r="B23" s="14"/>
      <c r="C23" s="36" t="s">
        <v>11</v>
      </c>
      <c r="D23" s="37" t="s">
        <v>9</v>
      </c>
      <c r="E23" s="38">
        <v>9.0</v>
      </c>
      <c r="F23" s="39">
        <v>20.0</v>
      </c>
      <c r="G23" s="40">
        <f t="shared" si="1"/>
        <v>29</v>
      </c>
    </row>
    <row r="24" ht="15.75" customHeight="1">
      <c r="B24" s="14"/>
      <c r="C24" s="15"/>
      <c r="D24" s="33" t="s">
        <v>10</v>
      </c>
      <c r="E24" s="33">
        <v>0.0</v>
      </c>
      <c r="F24" s="34">
        <v>0.0</v>
      </c>
      <c r="G24" s="35">
        <f t="shared" si="1"/>
        <v>0</v>
      </c>
    </row>
    <row r="25" ht="15.75" customHeight="1">
      <c r="B25" s="14"/>
      <c r="C25" s="36" t="s">
        <v>12</v>
      </c>
      <c r="D25" s="37" t="s">
        <v>9</v>
      </c>
      <c r="E25" s="38">
        <v>0.0</v>
      </c>
      <c r="F25" s="39">
        <v>0.0</v>
      </c>
      <c r="G25" s="40">
        <f t="shared" si="1"/>
        <v>0</v>
      </c>
    </row>
    <row r="26" ht="15.75" customHeight="1">
      <c r="B26" s="24"/>
      <c r="C26" s="24"/>
      <c r="D26" s="41" t="s">
        <v>10</v>
      </c>
      <c r="E26" s="41">
        <v>0.0</v>
      </c>
      <c r="F26" s="42">
        <v>0.0</v>
      </c>
      <c r="G26" s="43">
        <f t="shared" si="1"/>
        <v>0</v>
      </c>
    </row>
    <row r="27" ht="15.75" customHeight="1">
      <c r="B27" s="44" t="s">
        <v>16</v>
      </c>
      <c r="C27" s="44" t="s">
        <v>8</v>
      </c>
      <c r="D27" s="45" t="s">
        <v>9</v>
      </c>
      <c r="E27" s="46">
        <v>14.0</v>
      </c>
      <c r="F27" s="47">
        <v>18.0</v>
      </c>
      <c r="G27" s="48">
        <f t="shared" si="1"/>
        <v>32</v>
      </c>
    </row>
    <row r="28" ht="15.75" customHeight="1">
      <c r="B28" s="14"/>
      <c r="C28" s="15"/>
      <c r="D28" s="49" t="s">
        <v>10</v>
      </c>
      <c r="E28" s="50">
        <v>27.0</v>
      </c>
      <c r="F28" s="51">
        <v>23.0</v>
      </c>
      <c r="G28" s="52">
        <f t="shared" si="1"/>
        <v>50</v>
      </c>
    </row>
    <row r="29" ht="15.75" customHeight="1">
      <c r="B29" s="14"/>
      <c r="C29" s="53" t="s">
        <v>11</v>
      </c>
      <c r="D29" s="54" t="s">
        <v>9</v>
      </c>
      <c r="E29" s="55">
        <v>4.0</v>
      </c>
      <c r="F29" s="56">
        <v>3.0</v>
      </c>
      <c r="G29" s="57">
        <f t="shared" si="1"/>
        <v>7</v>
      </c>
    </row>
    <row r="30" ht="15.75" customHeight="1">
      <c r="B30" s="14"/>
      <c r="C30" s="15"/>
      <c r="D30" s="50" t="s">
        <v>10</v>
      </c>
      <c r="E30" s="50">
        <v>2.0</v>
      </c>
      <c r="F30" s="51">
        <v>2.0</v>
      </c>
      <c r="G30" s="52">
        <f t="shared" si="1"/>
        <v>4</v>
      </c>
    </row>
    <row r="31" ht="15.75" customHeight="1">
      <c r="B31" s="14"/>
      <c r="C31" s="58" t="s">
        <v>12</v>
      </c>
      <c r="D31" s="54" t="s">
        <v>9</v>
      </c>
      <c r="E31" s="55">
        <v>0.0</v>
      </c>
      <c r="F31" s="56">
        <v>1.0</v>
      </c>
      <c r="G31" s="57">
        <f t="shared" si="1"/>
        <v>1</v>
      </c>
    </row>
    <row r="32" ht="15.75" customHeight="1">
      <c r="B32" s="24"/>
      <c r="C32" s="24"/>
      <c r="D32" s="59" t="s">
        <v>10</v>
      </c>
      <c r="E32" s="59">
        <v>0.0</v>
      </c>
      <c r="F32" s="60">
        <v>0.0</v>
      </c>
      <c r="G32" s="61">
        <f t="shared" si="1"/>
        <v>0</v>
      </c>
    </row>
    <row r="33" ht="15.75" customHeight="1">
      <c r="A33" s="62"/>
      <c r="B33" s="28" t="s">
        <v>17</v>
      </c>
      <c r="C33" s="63" t="s">
        <v>8</v>
      </c>
      <c r="D33" s="64" t="s">
        <v>9</v>
      </c>
      <c r="E33" s="64">
        <v>27.0</v>
      </c>
      <c r="F33" s="65">
        <v>18.0</v>
      </c>
      <c r="G33" s="66">
        <f t="shared" si="1"/>
        <v>45</v>
      </c>
    </row>
    <row r="34" ht="15.75" customHeight="1">
      <c r="A34" s="62"/>
      <c r="B34" s="14"/>
      <c r="C34" s="67" t="s">
        <v>11</v>
      </c>
      <c r="D34" s="68" t="s">
        <v>9</v>
      </c>
      <c r="E34" s="68">
        <v>6.0</v>
      </c>
      <c r="F34" s="69">
        <v>11.0</v>
      </c>
      <c r="G34" s="70">
        <f t="shared" si="1"/>
        <v>17</v>
      </c>
    </row>
    <row r="35" ht="15.75" customHeight="1">
      <c r="A35" s="62"/>
      <c r="B35" s="24"/>
      <c r="C35" s="41" t="s">
        <v>12</v>
      </c>
      <c r="D35" s="41" t="s">
        <v>9</v>
      </c>
      <c r="E35" s="41">
        <v>0.0</v>
      </c>
      <c r="F35" s="42">
        <v>0.0</v>
      </c>
      <c r="G35" s="43">
        <f t="shared" si="1"/>
        <v>0</v>
      </c>
    </row>
    <row r="36" ht="15.75" customHeight="1">
      <c r="B36" s="44" t="s">
        <v>18</v>
      </c>
      <c r="C36" s="71" t="s">
        <v>8</v>
      </c>
      <c r="D36" s="71" t="s">
        <v>9</v>
      </c>
      <c r="E36" s="72">
        <v>10.0</v>
      </c>
      <c r="F36" s="73">
        <v>27.0</v>
      </c>
      <c r="G36" s="74">
        <f t="shared" si="1"/>
        <v>37</v>
      </c>
    </row>
    <row r="37" ht="15.75" customHeight="1">
      <c r="B37" s="14"/>
      <c r="C37" s="75" t="s">
        <v>11</v>
      </c>
      <c r="D37" s="76" t="s">
        <v>9</v>
      </c>
      <c r="E37" s="76">
        <v>2.0</v>
      </c>
      <c r="F37" s="77">
        <v>5.0</v>
      </c>
      <c r="G37" s="78">
        <f t="shared" si="1"/>
        <v>7</v>
      </c>
    </row>
    <row r="38" ht="15.75" customHeight="1">
      <c r="B38" s="24"/>
      <c r="C38" s="59" t="s">
        <v>12</v>
      </c>
      <c r="D38" s="59" t="s">
        <v>9</v>
      </c>
      <c r="E38" s="59">
        <v>0.0</v>
      </c>
      <c r="F38" s="60">
        <v>1.0</v>
      </c>
      <c r="G38" s="61">
        <f t="shared" si="1"/>
        <v>1</v>
      </c>
    </row>
    <row r="39" ht="15.75" customHeight="1">
      <c r="B39" s="28" t="s">
        <v>19</v>
      </c>
      <c r="C39" s="28" t="s">
        <v>8</v>
      </c>
      <c r="D39" s="29" t="s">
        <v>9</v>
      </c>
      <c r="E39" s="30">
        <v>7.0</v>
      </c>
      <c r="F39" s="31">
        <v>43.0</v>
      </c>
      <c r="G39" s="32">
        <f t="shared" si="1"/>
        <v>50</v>
      </c>
    </row>
    <row r="40" ht="15.75" customHeight="1">
      <c r="B40" s="14"/>
      <c r="C40" s="15"/>
      <c r="D40" s="79" t="s">
        <v>10</v>
      </c>
      <c r="E40" s="33">
        <v>10.0</v>
      </c>
      <c r="F40" s="34">
        <v>33.0</v>
      </c>
      <c r="G40" s="35">
        <f t="shared" si="1"/>
        <v>43</v>
      </c>
    </row>
    <row r="41" ht="15.75" customHeight="1">
      <c r="B41" s="14"/>
      <c r="C41" s="36" t="s">
        <v>11</v>
      </c>
      <c r="D41" s="37" t="s">
        <v>9</v>
      </c>
      <c r="E41" s="38">
        <v>3.0</v>
      </c>
      <c r="F41" s="39">
        <v>10.0</v>
      </c>
      <c r="G41" s="40">
        <f t="shared" si="1"/>
        <v>13</v>
      </c>
    </row>
    <row r="42" ht="15.75" customHeight="1">
      <c r="B42" s="14"/>
      <c r="C42" s="15"/>
      <c r="D42" s="80" t="s">
        <v>10</v>
      </c>
      <c r="E42" s="33">
        <v>0.0</v>
      </c>
      <c r="F42" s="34">
        <v>8.0</v>
      </c>
      <c r="G42" s="35">
        <f t="shared" si="1"/>
        <v>8</v>
      </c>
    </row>
    <row r="43" ht="15.75" customHeight="1">
      <c r="B43" s="14"/>
      <c r="C43" s="36" t="s">
        <v>12</v>
      </c>
      <c r="D43" s="37" t="s">
        <v>9</v>
      </c>
      <c r="E43" s="38">
        <v>0.0</v>
      </c>
      <c r="F43" s="39">
        <v>0.0</v>
      </c>
      <c r="G43" s="40">
        <f t="shared" si="1"/>
        <v>0</v>
      </c>
    </row>
    <row r="44" ht="15.75" customHeight="1">
      <c r="B44" s="24"/>
      <c r="C44" s="24"/>
      <c r="D44" s="81" t="s">
        <v>10</v>
      </c>
      <c r="E44" s="82">
        <v>0.0</v>
      </c>
      <c r="F44" s="83">
        <v>0.0</v>
      </c>
      <c r="G44" s="43">
        <f t="shared" si="1"/>
        <v>0</v>
      </c>
    </row>
    <row r="45" ht="15.75" customHeight="1">
      <c r="B45" s="44" t="s">
        <v>20</v>
      </c>
      <c r="C45" s="58" t="s">
        <v>8</v>
      </c>
      <c r="D45" s="84" t="s">
        <v>9</v>
      </c>
      <c r="E45" s="85">
        <v>31.0</v>
      </c>
      <c r="F45" s="86">
        <v>30.0</v>
      </c>
      <c r="G45" s="48">
        <f t="shared" si="1"/>
        <v>61</v>
      </c>
    </row>
    <row r="46" ht="15.75" customHeight="1">
      <c r="B46" s="14"/>
      <c r="C46" s="15"/>
      <c r="D46" s="49" t="s">
        <v>10</v>
      </c>
      <c r="E46" s="50">
        <v>5.0</v>
      </c>
      <c r="F46" s="51">
        <v>3.0</v>
      </c>
      <c r="G46" s="52">
        <f t="shared" si="1"/>
        <v>8</v>
      </c>
    </row>
    <row r="47" ht="15.75" customHeight="1">
      <c r="B47" s="14"/>
      <c r="C47" s="53" t="s">
        <v>11</v>
      </c>
      <c r="D47" s="54" t="s">
        <v>9</v>
      </c>
      <c r="E47" s="55">
        <v>9.0</v>
      </c>
      <c r="F47" s="56">
        <v>7.0</v>
      </c>
      <c r="G47" s="57">
        <f t="shared" si="1"/>
        <v>16</v>
      </c>
    </row>
    <row r="48" ht="15.75" customHeight="1">
      <c r="B48" s="14"/>
      <c r="C48" s="15"/>
      <c r="D48" s="50" t="s">
        <v>10</v>
      </c>
      <c r="E48" s="50">
        <v>0.0</v>
      </c>
      <c r="F48" s="51">
        <v>0.0</v>
      </c>
      <c r="G48" s="52">
        <f t="shared" si="1"/>
        <v>0</v>
      </c>
    </row>
    <row r="49" ht="15.75" customHeight="1">
      <c r="B49" s="14"/>
      <c r="C49" s="58" t="s">
        <v>12</v>
      </c>
      <c r="D49" s="84" t="s">
        <v>9</v>
      </c>
      <c r="E49" s="85">
        <v>9.0</v>
      </c>
      <c r="F49" s="86">
        <v>2.0</v>
      </c>
      <c r="G49" s="57">
        <f t="shared" si="1"/>
        <v>11</v>
      </c>
    </row>
    <row r="50" ht="15.75" customHeight="1">
      <c r="B50" s="24"/>
      <c r="C50" s="24"/>
      <c r="D50" s="87" t="s">
        <v>10</v>
      </c>
      <c r="E50" s="59">
        <v>0.0</v>
      </c>
      <c r="F50" s="60">
        <v>0.0</v>
      </c>
      <c r="G50" s="61">
        <f t="shared" si="1"/>
        <v>0</v>
      </c>
    </row>
    <row r="51" ht="15.75" customHeight="1">
      <c r="B51" s="28" t="s">
        <v>21</v>
      </c>
      <c r="C51" s="28" t="s">
        <v>8</v>
      </c>
      <c r="D51" s="29" t="s">
        <v>9</v>
      </c>
      <c r="E51" s="30">
        <v>134.0</v>
      </c>
      <c r="F51" s="31">
        <v>32.0</v>
      </c>
      <c r="G51" s="32">
        <f t="shared" si="1"/>
        <v>166</v>
      </c>
    </row>
    <row r="52" ht="15.75" customHeight="1">
      <c r="B52" s="14"/>
      <c r="C52" s="15"/>
      <c r="D52" s="79" t="s">
        <v>10</v>
      </c>
      <c r="E52" s="33">
        <v>97.0</v>
      </c>
      <c r="F52" s="34">
        <v>33.0</v>
      </c>
      <c r="G52" s="35">
        <f t="shared" si="1"/>
        <v>130</v>
      </c>
    </row>
    <row r="53" ht="15.75" customHeight="1">
      <c r="B53" s="14"/>
      <c r="C53" s="36" t="s">
        <v>11</v>
      </c>
      <c r="D53" s="37" t="s">
        <v>9</v>
      </c>
      <c r="E53" s="38">
        <v>2.0</v>
      </c>
      <c r="F53" s="39">
        <v>2.0</v>
      </c>
      <c r="G53" s="40">
        <f t="shared" si="1"/>
        <v>4</v>
      </c>
    </row>
    <row r="54" ht="15.75" customHeight="1">
      <c r="B54" s="14"/>
      <c r="C54" s="15"/>
      <c r="D54" s="33" t="s">
        <v>10</v>
      </c>
      <c r="E54" s="33">
        <v>0.0</v>
      </c>
      <c r="F54" s="34">
        <v>0.0</v>
      </c>
      <c r="G54" s="35">
        <f t="shared" si="1"/>
        <v>0</v>
      </c>
    </row>
    <row r="55" ht="15.75" customHeight="1">
      <c r="B55" s="14"/>
      <c r="C55" s="88" t="s">
        <v>12</v>
      </c>
      <c r="D55" s="89" t="s">
        <v>9</v>
      </c>
      <c r="E55" s="90">
        <v>2.0</v>
      </c>
      <c r="F55" s="91">
        <v>4.0</v>
      </c>
      <c r="G55" s="40">
        <f t="shared" si="1"/>
        <v>6</v>
      </c>
    </row>
    <row r="56" ht="15.75" customHeight="1">
      <c r="B56" s="24"/>
      <c r="C56" s="24"/>
      <c r="D56" s="41" t="s">
        <v>10</v>
      </c>
      <c r="E56" s="41">
        <v>6.0</v>
      </c>
      <c r="F56" s="42">
        <v>1.0</v>
      </c>
      <c r="G56" s="43">
        <f t="shared" si="1"/>
        <v>7</v>
      </c>
    </row>
    <row r="57" ht="15.75" customHeight="1">
      <c r="B57" s="44" t="s">
        <v>22</v>
      </c>
      <c r="C57" s="44" t="s">
        <v>8</v>
      </c>
      <c r="D57" s="45" t="s">
        <v>9</v>
      </c>
      <c r="E57" s="46">
        <v>56.0</v>
      </c>
      <c r="F57" s="47">
        <v>12.0</v>
      </c>
      <c r="G57" s="48">
        <f t="shared" si="1"/>
        <v>68</v>
      </c>
    </row>
    <row r="58" ht="15.75" customHeight="1">
      <c r="B58" s="14"/>
      <c r="C58" s="15"/>
      <c r="D58" s="49" t="s">
        <v>10</v>
      </c>
      <c r="E58" s="50">
        <v>29.0</v>
      </c>
      <c r="F58" s="51">
        <v>6.0</v>
      </c>
      <c r="G58" s="52">
        <f t="shared" si="1"/>
        <v>35</v>
      </c>
    </row>
    <row r="59" ht="15.75" customHeight="1">
      <c r="B59" s="14"/>
      <c r="C59" s="53" t="s">
        <v>11</v>
      </c>
      <c r="D59" s="54" t="s">
        <v>9</v>
      </c>
      <c r="E59" s="55">
        <v>9.0</v>
      </c>
      <c r="F59" s="56">
        <v>2.0</v>
      </c>
      <c r="G59" s="57">
        <f t="shared" si="1"/>
        <v>11</v>
      </c>
    </row>
    <row r="60" ht="15.75" customHeight="1">
      <c r="B60" s="14"/>
      <c r="C60" s="15"/>
      <c r="D60" s="50" t="s">
        <v>10</v>
      </c>
      <c r="E60" s="50">
        <v>0.0</v>
      </c>
      <c r="F60" s="51">
        <v>0.0</v>
      </c>
      <c r="G60" s="52">
        <f t="shared" si="1"/>
        <v>0</v>
      </c>
    </row>
    <row r="61" ht="15.75" customHeight="1">
      <c r="B61" s="14"/>
      <c r="C61" s="53" t="s">
        <v>12</v>
      </c>
      <c r="D61" s="54" t="s">
        <v>9</v>
      </c>
      <c r="E61" s="55">
        <v>8.0</v>
      </c>
      <c r="F61" s="56">
        <v>2.0</v>
      </c>
      <c r="G61" s="57">
        <f t="shared" si="1"/>
        <v>10</v>
      </c>
    </row>
    <row r="62" ht="15.75" customHeight="1">
      <c r="B62" s="24"/>
      <c r="C62" s="24"/>
      <c r="D62" s="59" t="s">
        <v>10</v>
      </c>
      <c r="E62" s="59">
        <v>0.0</v>
      </c>
      <c r="F62" s="60">
        <v>0.0</v>
      </c>
      <c r="G62" s="61">
        <f t="shared" si="1"/>
        <v>0</v>
      </c>
    </row>
    <row r="63" ht="15.75" customHeight="1">
      <c r="B63" s="28" t="s">
        <v>23</v>
      </c>
      <c r="C63" s="28" t="s">
        <v>8</v>
      </c>
      <c r="D63" s="29" t="s">
        <v>9</v>
      </c>
      <c r="E63" s="30">
        <v>24.0</v>
      </c>
      <c r="F63" s="31">
        <v>15.0</v>
      </c>
      <c r="G63" s="32">
        <f t="shared" si="1"/>
        <v>39</v>
      </c>
    </row>
    <row r="64" ht="15.75" customHeight="1">
      <c r="B64" s="14"/>
      <c r="C64" s="15"/>
      <c r="D64" s="79" t="s">
        <v>10</v>
      </c>
      <c r="E64" s="33">
        <v>2.0</v>
      </c>
      <c r="F64" s="34">
        <v>1.0</v>
      </c>
      <c r="G64" s="35">
        <f t="shared" si="1"/>
        <v>3</v>
      </c>
    </row>
    <row r="65" ht="15.75" customHeight="1">
      <c r="B65" s="14"/>
      <c r="C65" s="36" t="s">
        <v>11</v>
      </c>
      <c r="D65" s="37" t="s">
        <v>9</v>
      </c>
      <c r="E65" s="38">
        <v>8.0</v>
      </c>
      <c r="F65" s="39">
        <v>3.0</v>
      </c>
      <c r="G65" s="40">
        <f t="shared" si="1"/>
        <v>11</v>
      </c>
    </row>
    <row r="66" ht="15.75" customHeight="1">
      <c r="B66" s="14"/>
      <c r="C66" s="15"/>
      <c r="D66" s="33" t="s">
        <v>10</v>
      </c>
      <c r="E66" s="33">
        <v>0.0</v>
      </c>
      <c r="F66" s="34">
        <v>0.0</v>
      </c>
      <c r="G66" s="35">
        <f t="shared" si="1"/>
        <v>0</v>
      </c>
    </row>
    <row r="67" ht="15.75" customHeight="1">
      <c r="B67" s="14"/>
      <c r="C67" s="36" t="s">
        <v>12</v>
      </c>
      <c r="D67" s="37" t="s">
        <v>9</v>
      </c>
      <c r="E67" s="38">
        <v>1.0</v>
      </c>
      <c r="F67" s="39">
        <v>0.0</v>
      </c>
      <c r="G67" s="40">
        <f t="shared" si="1"/>
        <v>1</v>
      </c>
    </row>
    <row r="68" ht="15.75" customHeight="1">
      <c r="B68" s="24"/>
      <c r="C68" s="24"/>
      <c r="D68" s="41" t="s">
        <v>10</v>
      </c>
      <c r="E68" s="41">
        <v>0.0</v>
      </c>
      <c r="F68" s="42">
        <v>0.0</v>
      </c>
      <c r="G68" s="43">
        <f t="shared" si="1"/>
        <v>0</v>
      </c>
    </row>
    <row r="69" ht="15.75" customHeight="1">
      <c r="B69" s="44" t="s">
        <v>24</v>
      </c>
      <c r="C69" s="44" t="s">
        <v>8</v>
      </c>
      <c r="D69" s="45" t="s">
        <v>9</v>
      </c>
      <c r="E69" s="92">
        <v>1.0</v>
      </c>
      <c r="F69" s="47">
        <v>3.0</v>
      </c>
      <c r="G69" s="48">
        <f t="shared" si="1"/>
        <v>4</v>
      </c>
    </row>
    <row r="70" ht="15.75" customHeight="1">
      <c r="B70" s="14"/>
      <c r="C70" s="15"/>
      <c r="D70" s="49" t="s">
        <v>10</v>
      </c>
      <c r="E70" s="93">
        <v>6.0</v>
      </c>
      <c r="F70" s="94">
        <v>6.0</v>
      </c>
      <c r="G70" s="52">
        <f t="shared" si="1"/>
        <v>12</v>
      </c>
    </row>
    <row r="71" ht="15.75" customHeight="1">
      <c r="B71" s="14"/>
      <c r="C71" s="53" t="s">
        <v>11</v>
      </c>
      <c r="D71" s="54" t="s">
        <v>9</v>
      </c>
      <c r="E71" s="95">
        <v>2.0</v>
      </c>
      <c r="F71" s="96">
        <v>2.0</v>
      </c>
      <c r="G71" s="57">
        <f t="shared" si="1"/>
        <v>4</v>
      </c>
    </row>
    <row r="72" ht="15.75" customHeight="1">
      <c r="B72" s="14"/>
      <c r="C72" s="15"/>
      <c r="D72" s="50" t="s">
        <v>10</v>
      </c>
      <c r="E72" s="93">
        <v>1.0</v>
      </c>
      <c r="F72" s="94">
        <v>2.0</v>
      </c>
      <c r="G72" s="52">
        <f t="shared" si="1"/>
        <v>3</v>
      </c>
    </row>
    <row r="73" ht="15.75" customHeight="1">
      <c r="B73" s="14"/>
      <c r="C73" s="53" t="s">
        <v>12</v>
      </c>
      <c r="D73" s="54" t="s">
        <v>9</v>
      </c>
      <c r="E73" s="95">
        <v>1.0</v>
      </c>
      <c r="F73" s="96">
        <v>0.0</v>
      </c>
      <c r="G73" s="57">
        <f t="shared" si="1"/>
        <v>1</v>
      </c>
    </row>
    <row r="74" ht="15.75" customHeight="1">
      <c r="B74" s="24"/>
      <c r="C74" s="24"/>
      <c r="D74" s="59" t="s">
        <v>10</v>
      </c>
      <c r="E74" s="97">
        <v>0.0</v>
      </c>
      <c r="F74" s="98">
        <v>0.0</v>
      </c>
      <c r="G74" s="61">
        <f t="shared" si="1"/>
        <v>0</v>
      </c>
    </row>
    <row r="75" ht="15.75" customHeight="1">
      <c r="B75" s="28" t="s">
        <v>25</v>
      </c>
      <c r="C75" s="28" t="s">
        <v>8</v>
      </c>
      <c r="D75" s="29" t="s">
        <v>9</v>
      </c>
      <c r="E75" s="30">
        <v>15.0</v>
      </c>
      <c r="F75" s="31">
        <v>44.0</v>
      </c>
      <c r="G75" s="32">
        <f t="shared" si="1"/>
        <v>59</v>
      </c>
    </row>
    <row r="76" ht="15.75" customHeight="1">
      <c r="B76" s="14"/>
      <c r="C76" s="15"/>
      <c r="D76" s="79" t="s">
        <v>10</v>
      </c>
      <c r="E76" s="33">
        <v>7.0</v>
      </c>
      <c r="F76" s="34">
        <v>19.0</v>
      </c>
      <c r="G76" s="35">
        <f t="shared" si="1"/>
        <v>26</v>
      </c>
    </row>
    <row r="77" ht="15.75" customHeight="1">
      <c r="B77" s="14"/>
      <c r="C77" s="36" t="s">
        <v>11</v>
      </c>
      <c r="D77" s="37" t="s">
        <v>9</v>
      </c>
      <c r="E77" s="38">
        <v>8.0</v>
      </c>
      <c r="F77" s="39">
        <v>12.0</v>
      </c>
      <c r="G77" s="40">
        <f t="shared" si="1"/>
        <v>20</v>
      </c>
    </row>
    <row r="78" ht="15.75" customHeight="1">
      <c r="B78" s="14"/>
      <c r="C78" s="15"/>
      <c r="D78" s="33" t="s">
        <v>10</v>
      </c>
      <c r="E78" s="33">
        <v>0.0</v>
      </c>
      <c r="F78" s="34">
        <v>0.0</v>
      </c>
      <c r="G78" s="35">
        <f t="shared" si="1"/>
        <v>0</v>
      </c>
    </row>
    <row r="79" ht="15.75" customHeight="1">
      <c r="B79" s="14"/>
      <c r="C79" s="36" t="s">
        <v>12</v>
      </c>
      <c r="D79" s="37" t="s">
        <v>9</v>
      </c>
      <c r="E79" s="38">
        <v>0.0</v>
      </c>
      <c r="F79" s="39">
        <v>0.0</v>
      </c>
      <c r="G79" s="40">
        <f t="shared" si="1"/>
        <v>0</v>
      </c>
    </row>
    <row r="80" ht="15.75" customHeight="1">
      <c r="B80" s="24"/>
      <c r="C80" s="24"/>
      <c r="D80" s="41" t="s">
        <v>10</v>
      </c>
      <c r="E80" s="41">
        <v>0.0</v>
      </c>
      <c r="F80" s="42">
        <v>0.0</v>
      </c>
      <c r="G80" s="43">
        <f t="shared" si="1"/>
        <v>0</v>
      </c>
    </row>
    <row r="81" ht="15.75" customHeight="1">
      <c r="B81" s="44" t="s">
        <v>26</v>
      </c>
      <c r="C81" s="71" t="s">
        <v>8</v>
      </c>
      <c r="D81" s="71" t="s">
        <v>9</v>
      </c>
      <c r="E81" s="72">
        <v>28.0</v>
      </c>
      <c r="F81" s="73">
        <v>43.0</v>
      </c>
      <c r="G81" s="74">
        <f t="shared" si="1"/>
        <v>71</v>
      </c>
    </row>
    <row r="82" ht="15.75" customHeight="1">
      <c r="B82" s="14"/>
      <c r="C82" s="75" t="s">
        <v>11</v>
      </c>
      <c r="D82" s="76" t="s">
        <v>9</v>
      </c>
      <c r="E82" s="76">
        <v>4.0</v>
      </c>
      <c r="F82" s="77">
        <v>8.0</v>
      </c>
      <c r="G82" s="78">
        <f t="shared" si="1"/>
        <v>12</v>
      </c>
    </row>
    <row r="83" ht="15.75" customHeight="1">
      <c r="B83" s="24"/>
      <c r="C83" s="59" t="s">
        <v>12</v>
      </c>
      <c r="D83" s="59" t="s">
        <v>9</v>
      </c>
      <c r="E83" s="59">
        <v>1.0</v>
      </c>
      <c r="F83" s="60">
        <v>0.0</v>
      </c>
      <c r="G83" s="61">
        <f t="shared" si="1"/>
        <v>1</v>
      </c>
    </row>
    <row r="84" ht="15.75" customHeight="1">
      <c r="B84" s="28" t="s">
        <v>27</v>
      </c>
      <c r="C84" s="28" t="s">
        <v>8</v>
      </c>
      <c r="D84" s="29" t="s">
        <v>9</v>
      </c>
      <c r="E84" s="30">
        <v>1.0</v>
      </c>
      <c r="F84" s="31">
        <v>19.0</v>
      </c>
      <c r="G84" s="32">
        <f t="shared" si="1"/>
        <v>20</v>
      </c>
    </row>
    <row r="85" ht="15.75" customHeight="1">
      <c r="B85" s="14"/>
      <c r="C85" s="15"/>
      <c r="D85" s="79" t="s">
        <v>10</v>
      </c>
      <c r="E85" s="33">
        <v>8.0</v>
      </c>
      <c r="F85" s="34">
        <v>24.0</v>
      </c>
      <c r="G85" s="35">
        <f t="shared" si="1"/>
        <v>32</v>
      </c>
    </row>
    <row r="86" ht="15.75" customHeight="1">
      <c r="B86" s="14"/>
      <c r="C86" s="36" t="s">
        <v>11</v>
      </c>
      <c r="D86" s="37" t="s">
        <v>9</v>
      </c>
      <c r="E86" s="38">
        <v>1.0</v>
      </c>
      <c r="F86" s="39">
        <v>6.0</v>
      </c>
      <c r="G86" s="40">
        <f t="shared" si="1"/>
        <v>7</v>
      </c>
    </row>
    <row r="87" ht="15.75" customHeight="1">
      <c r="B87" s="14"/>
      <c r="C87" s="15"/>
      <c r="D87" s="33" t="s">
        <v>10</v>
      </c>
      <c r="E87" s="33">
        <v>1.0</v>
      </c>
      <c r="F87" s="34">
        <v>5.0</v>
      </c>
      <c r="G87" s="35">
        <f t="shared" si="1"/>
        <v>6</v>
      </c>
    </row>
    <row r="88" ht="15.75" customHeight="1">
      <c r="B88" s="14"/>
      <c r="C88" s="36" t="s">
        <v>12</v>
      </c>
      <c r="D88" s="37" t="s">
        <v>9</v>
      </c>
      <c r="E88" s="38">
        <v>0.0</v>
      </c>
      <c r="F88" s="39">
        <v>3.0</v>
      </c>
      <c r="G88" s="40">
        <f t="shared" si="1"/>
        <v>3</v>
      </c>
    </row>
    <row r="89" ht="15.75" customHeight="1">
      <c r="B89" s="24"/>
      <c r="C89" s="24"/>
      <c r="D89" s="41" t="s">
        <v>10</v>
      </c>
      <c r="E89" s="41">
        <v>1.0</v>
      </c>
      <c r="F89" s="42">
        <v>0.0</v>
      </c>
      <c r="G89" s="43">
        <f t="shared" si="1"/>
        <v>1</v>
      </c>
    </row>
    <row r="90" ht="15.75" customHeight="1">
      <c r="A90" s="62"/>
      <c r="B90" s="44" t="s">
        <v>28</v>
      </c>
      <c r="C90" s="71" t="s">
        <v>8</v>
      </c>
      <c r="D90" s="72" t="s">
        <v>9</v>
      </c>
      <c r="E90" s="72">
        <v>11.0</v>
      </c>
      <c r="F90" s="73">
        <v>31.0</v>
      </c>
      <c r="G90" s="74">
        <f t="shared" si="1"/>
        <v>42</v>
      </c>
    </row>
    <row r="91" ht="15.75" customHeight="1">
      <c r="A91" s="62"/>
      <c r="B91" s="14"/>
      <c r="C91" s="75" t="s">
        <v>11</v>
      </c>
      <c r="D91" s="76" t="s">
        <v>9</v>
      </c>
      <c r="E91" s="76">
        <v>3.0</v>
      </c>
      <c r="F91" s="77">
        <v>4.0</v>
      </c>
      <c r="G91" s="78">
        <f t="shared" si="1"/>
        <v>7</v>
      </c>
    </row>
    <row r="92" ht="15.75" customHeight="1">
      <c r="A92" s="62"/>
      <c r="B92" s="24"/>
      <c r="C92" s="59" t="s">
        <v>12</v>
      </c>
      <c r="D92" s="99" t="s">
        <v>9</v>
      </c>
      <c r="E92" s="100">
        <v>0.0</v>
      </c>
      <c r="F92" s="101">
        <v>0.0</v>
      </c>
      <c r="G92" s="61">
        <f t="shared" si="1"/>
        <v>0</v>
      </c>
    </row>
    <row r="93" ht="15.75" customHeight="1">
      <c r="A93" s="62"/>
      <c r="B93" s="44" t="s">
        <v>29</v>
      </c>
      <c r="C93" s="71" t="s">
        <v>8</v>
      </c>
      <c r="D93" s="50" t="s">
        <v>9</v>
      </c>
      <c r="E93" s="50">
        <v>12.0</v>
      </c>
      <c r="F93" s="51">
        <v>40.0</v>
      </c>
      <c r="G93" s="74">
        <f t="shared" si="1"/>
        <v>52</v>
      </c>
    </row>
    <row r="94" ht="15.75" customHeight="1">
      <c r="A94" s="62"/>
      <c r="B94" s="14"/>
      <c r="C94" s="75" t="s">
        <v>11</v>
      </c>
      <c r="D94" s="76" t="s">
        <v>9</v>
      </c>
      <c r="E94" s="76">
        <v>3.0</v>
      </c>
      <c r="F94" s="77">
        <v>2.0</v>
      </c>
      <c r="G94" s="78">
        <f t="shared" si="1"/>
        <v>5</v>
      </c>
    </row>
    <row r="95" ht="15.75" customHeight="1">
      <c r="A95" s="62"/>
      <c r="B95" s="24"/>
      <c r="C95" s="99" t="s">
        <v>12</v>
      </c>
      <c r="D95" s="100" t="s">
        <v>9</v>
      </c>
      <c r="E95" s="100">
        <v>0.0</v>
      </c>
      <c r="F95" s="101">
        <v>0.0</v>
      </c>
      <c r="G95" s="61">
        <f t="shared" si="1"/>
        <v>0</v>
      </c>
    </row>
    <row r="96" ht="15.75" customHeight="1">
      <c r="A96" s="62"/>
      <c r="B96" s="44" t="s">
        <v>30</v>
      </c>
      <c r="C96" s="71" t="s">
        <v>8</v>
      </c>
      <c r="D96" s="50" t="s">
        <v>9</v>
      </c>
      <c r="E96" s="50">
        <v>0.0</v>
      </c>
      <c r="F96" s="50">
        <v>0.0</v>
      </c>
      <c r="G96" s="74">
        <f t="shared" si="1"/>
        <v>0</v>
      </c>
    </row>
    <row r="97" ht="15.75" customHeight="1">
      <c r="A97" s="62"/>
      <c r="B97" s="14"/>
      <c r="C97" s="75" t="s">
        <v>11</v>
      </c>
      <c r="D97" s="76" t="s">
        <v>9</v>
      </c>
      <c r="E97" s="76">
        <v>0.0</v>
      </c>
      <c r="F97" s="76">
        <v>0.0</v>
      </c>
      <c r="G97" s="78">
        <f t="shared" si="1"/>
        <v>0</v>
      </c>
    </row>
    <row r="98" ht="15.75" customHeight="1">
      <c r="A98" s="62"/>
      <c r="B98" s="24"/>
      <c r="C98" s="99" t="s">
        <v>12</v>
      </c>
      <c r="D98" s="100" t="s">
        <v>9</v>
      </c>
      <c r="E98" s="100">
        <v>0.0</v>
      </c>
      <c r="F98" s="100">
        <v>0.0</v>
      </c>
      <c r="G98" s="61">
        <f t="shared" si="1"/>
        <v>0</v>
      </c>
    </row>
    <row r="99" ht="15.75" customHeight="1">
      <c r="B99" s="28" t="s">
        <v>31</v>
      </c>
      <c r="C99" s="28" t="s">
        <v>8</v>
      </c>
      <c r="D99" s="29" t="s">
        <v>9</v>
      </c>
      <c r="E99" s="30">
        <v>12.0</v>
      </c>
      <c r="F99" s="31">
        <v>29.0</v>
      </c>
      <c r="G99" s="32">
        <f t="shared" si="1"/>
        <v>41</v>
      </c>
    </row>
    <row r="100" ht="15.75" customHeight="1">
      <c r="B100" s="14"/>
      <c r="C100" s="15"/>
      <c r="D100" s="79" t="s">
        <v>10</v>
      </c>
      <c r="E100" s="33">
        <v>10.0</v>
      </c>
      <c r="F100" s="34">
        <v>31.0</v>
      </c>
      <c r="G100" s="35">
        <f t="shared" si="1"/>
        <v>41</v>
      </c>
    </row>
    <row r="101" ht="15.75" customHeight="1">
      <c r="B101" s="14"/>
      <c r="C101" s="36" t="s">
        <v>11</v>
      </c>
      <c r="D101" s="37" t="s">
        <v>9</v>
      </c>
      <c r="E101" s="38">
        <v>4.0</v>
      </c>
      <c r="F101" s="39">
        <v>10.0</v>
      </c>
      <c r="G101" s="40">
        <f t="shared" si="1"/>
        <v>14</v>
      </c>
    </row>
    <row r="102" ht="15.75" customHeight="1">
      <c r="B102" s="14"/>
      <c r="C102" s="15"/>
      <c r="D102" s="33" t="s">
        <v>10</v>
      </c>
      <c r="E102" s="33">
        <v>3.0</v>
      </c>
      <c r="F102" s="34">
        <v>4.0</v>
      </c>
      <c r="G102" s="35">
        <f t="shared" si="1"/>
        <v>7</v>
      </c>
    </row>
    <row r="103" ht="15.75" customHeight="1">
      <c r="B103" s="14"/>
      <c r="C103" s="88" t="s">
        <v>12</v>
      </c>
      <c r="D103" s="37" t="s">
        <v>9</v>
      </c>
      <c r="E103" s="38">
        <v>0.0</v>
      </c>
      <c r="F103" s="39">
        <v>2.0</v>
      </c>
      <c r="G103" s="40">
        <f t="shared" si="1"/>
        <v>2</v>
      </c>
    </row>
    <row r="104" ht="15.75" customHeight="1">
      <c r="B104" s="24"/>
      <c r="C104" s="24"/>
      <c r="D104" s="41" t="s">
        <v>10</v>
      </c>
      <c r="E104" s="41">
        <v>0.0</v>
      </c>
      <c r="F104" s="42">
        <v>0.0</v>
      </c>
      <c r="G104" s="43">
        <f t="shared" si="1"/>
        <v>0</v>
      </c>
    </row>
    <row r="105" ht="15.75" customHeight="1">
      <c r="B105" s="44" t="s">
        <v>32</v>
      </c>
      <c r="C105" s="44" t="s">
        <v>8</v>
      </c>
      <c r="D105" s="45" t="s">
        <v>9</v>
      </c>
      <c r="E105" s="46">
        <v>24.0</v>
      </c>
      <c r="F105" s="47">
        <v>44.0</v>
      </c>
      <c r="G105" s="48">
        <f t="shared" si="1"/>
        <v>68</v>
      </c>
    </row>
    <row r="106" ht="15.75" customHeight="1">
      <c r="B106" s="14"/>
      <c r="C106" s="15"/>
      <c r="D106" s="102" t="s">
        <v>10</v>
      </c>
      <c r="E106" s="103">
        <v>6.0</v>
      </c>
      <c r="F106" s="104">
        <v>11.0</v>
      </c>
      <c r="G106" s="52">
        <f t="shared" si="1"/>
        <v>17</v>
      </c>
    </row>
    <row r="107" ht="15.75" customHeight="1">
      <c r="B107" s="14"/>
      <c r="C107" s="58" t="s">
        <v>11</v>
      </c>
      <c r="D107" s="84" t="s">
        <v>9</v>
      </c>
      <c r="E107" s="85">
        <v>2.0</v>
      </c>
      <c r="F107" s="86">
        <v>1.0</v>
      </c>
      <c r="G107" s="57">
        <f t="shared" si="1"/>
        <v>3</v>
      </c>
    </row>
    <row r="108" ht="15.75" customHeight="1">
      <c r="B108" s="14"/>
      <c r="C108" s="24"/>
      <c r="D108" s="87" t="s">
        <v>10</v>
      </c>
      <c r="E108" s="87">
        <v>0.0</v>
      </c>
      <c r="F108" s="105">
        <v>0.0</v>
      </c>
      <c r="G108" s="61">
        <f t="shared" si="1"/>
        <v>0</v>
      </c>
    </row>
    <row r="109" ht="15.75" customHeight="1">
      <c r="B109" s="14"/>
      <c r="C109" s="44" t="s">
        <v>12</v>
      </c>
      <c r="D109" s="45" t="s">
        <v>9</v>
      </c>
      <c r="E109" s="46">
        <v>0.0</v>
      </c>
      <c r="F109" s="47">
        <v>0.0</v>
      </c>
      <c r="G109" s="48">
        <f t="shared" si="1"/>
        <v>0</v>
      </c>
    </row>
    <row r="110" ht="15.75" customHeight="1">
      <c r="B110" s="24"/>
      <c r="C110" s="24"/>
      <c r="D110" s="59" t="s">
        <v>10</v>
      </c>
      <c r="E110" s="59">
        <v>0.0</v>
      </c>
      <c r="F110" s="60">
        <v>0.0</v>
      </c>
      <c r="G110" s="61">
        <f t="shared" si="1"/>
        <v>0</v>
      </c>
    </row>
    <row r="111" ht="15.75" customHeight="1">
      <c r="B111" s="28" t="s">
        <v>33</v>
      </c>
      <c r="C111" s="63" t="s">
        <v>8</v>
      </c>
      <c r="D111" s="64" t="s">
        <v>9</v>
      </c>
      <c r="E111" s="64">
        <v>32.0</v>
      </c>
      <c r="F111" s="65">
        <v>65.0</v>
      </c>
      <c r="G111" s="66">
        <f t="shared" si="1"/>
        <v>97</v>
      </c>
    </row>
    <row r="112" ht="15.75" customHeight="1">
      <c r="B112" s="14"/>
      <c r="C112" s="67" t="s">
        <v>11</v>
      </c>
      <c r="D112" s="68" t="s">
        <v>9</v>
      </c>
      <c r="E112" s="68">
        <v>1.0</v>
      </c>
      <c r="F112" s="69">
        <v>7.0</v>
      </c>
      <c r="G112" s="70">
        <f t="shared" si="1"/>
        <v>8</v>
      </c>
    </row>
    <row r="113" ht="15.75" customHeight="1">
      <c r="B113" s="24"/>
      <c r="C113" s="106" t="s">
        <v>12</v>
      </c>
      <c r="D113" s="107" t="s">
        <v>9</v>
      </c>
      <c r="E113" s="107">
        <v>0.0</v>
      </c>
      <c r="F113" s="108">
        <v>1.0</v>
      </c>
      <c r="G113" s="109">
        <f t="shared" si="1"/>
        <v>1</v>
      </c>
    </row>
    <row r="114" ht="15.75" customHeight="1">
      <c r="B114" s="44" t="s">
        <v>34</v>
      </c>
      <c r="C114" s="71" t="s">
        <v>8</v>
      </c>
      <c r="D114" s="72" t="s">
        <v>9</v>
      </c>
      <c r="E114" s="72">
        <v>0.0</v>
      </c>
      <c r="F114" s="73">
        <v>0.0</v>
      </c>
      <c r="G114" s="110">
        <f t="shared" si="1"/>
        <v>0</v>
      </c>
    </row>
    <row r="115" ht="15.75" customHeight="1">
      <c r="B115" s="14"/>
      <c r="C115" s="75" t="s">
        <v>11</v>
      </c>
      <c r="D115" s="76" t="s">
        <v>9</v>
      </c>
      <c r="E115" s="76">
        <v>0.0</v>
      </c>
      <c r="F115" s="77">
        <v>0.0</v>
      </c>
      <c r="G115" s="111">
        <f t="shared" si="1"/>
        <v>0</v>
      </c>
    </row>
    <row r="116" ht="15.75" customHeight="1">
      <c r="B116" s="24"/>
      <c r="C116" s="59" t="s">
        <v>12</v>
      </c>
      <c r="D116" s="59" t="s">
        <v>9</v>
      </c>
      <c r="E116" s="59">
        <v>0.0</v>
      </c>
      <c r="F116" s="60">
        <v>0.0</v>
      </c>
      <c r="G116" s="61">
        <f t="shared" si="1"/>
        <v>0</v>
      </c>
    </row>
    <row r="117" ht="15.75" customHeight="1">
      <c r="B117" s="28" t="s">
        <v>35</v>
      </c>
      <c r="C117" s="28" t="s">
        <v>8</v>
      </c>
      <c r="D117" s="29" t="s">
        <v>9</v>
      </c>
      <c r="E117" s="30">
        <v>7.0</v>
      </c>
      <c r="F117" s="31">
        <v>23.0</v>
      </c>
      <c r="G117" s="32">
        <f t="shared" si="1"/>
        <v>30</v>
      </c>
    </row>
    <row r="118" ht="15.75" customHeight="1">
      <c r="B118" s="14"/>
      <c r="C118" s="15"/>
      <c r="D118" s="79" t="s">
        <v>10</v>
      </c>
      <c r="E118" s="33">
        <v>7.0</v>
      </c>
      <c r="F118" s="34">
        <v>28.0</v>
      </c>
      <c r="G118" s="35">
        <f t="shared" si="1"/>
        <v>35</v>
      </c>
    </row>
    <row r="119" ht="15.75" customHeight="1">
      <c r="B119" s="14"/>
      <c r="C119" s="36" t="s">
        <v>11</v>
      </c>
      <c r="D119" s="37" t="s">
        <v>9</v>
      </c>
      <c r="E119" s="38">
        <v>1.0</v>
      </c>
      <c r="F119" s="39">
        <v>5.0</v>
      </c>
      <c r="G119" s="40">
        <f t="shared" si="1"/>
        <v>6</v>
      </c>
    </row>
    <row r="120" ht="15.75" customHeight="1">
      <c r="B120" s="14"/>
      <c r="C120" s="15"/>
      <c r="D120" s="33" t="s">
        <v>10</v>
      </c>
      <c r="E120" s="33">
        <v>1.0</v>
      </c>
      <c r="F120" s="34">
        <v>3.0</v>
      </c>
      <c r="G120" s="112">
        <f t="shared" si="1"/>
        <v>4</v>
      </c>
    </row>
    <row r="121" ht="15.75" customHeight="1">
      <c r="B121" s="14"/>
      <c r="C121" s="88" t="s">
        <v>12</v>
      </c>
      <c r="D121" s="89" t="s">
        <v>9</v>
      </c>
      <c r="E121" s="90">
        <v>0.0</v>
      </c>
      <c r="F121" s="91">
        <v>0.0</v>
      </c>
      <c r="G121" s="113">
        <f t="shared" si="1"/>
        <v>0</v>
      </c>
    </row>
    <row r="122" ht="15.75" customHeight="1">
      <c r="B122" s="24"/>
      <c r="C122" s="24"/>
      <c r="D122" s="114" t="s">
        <v>10</v>
      </c>
      <c r="E122" s="115">
        <v>0.0</v>
      </c>
      <c r="F122" s="116">
        <v>1.0</v>
      </c>
      <c r="G122" s="117">
        <f t="shared" si="1"/>
        <v>1</v>
      </c>
    </row>
    <row r="123" ht="15.75" customHeight="1">
      <c r="B123" s="44" t="s">
        <v>36</v>
      </c>
      <c r="C123" s="71" t="s">
        <v>8</v>
      </c>
      <c r="D123" s="71" t="s">
        <v>9</v>
      </c>
      <c r="E123" s="72">
        <v>3.0</v>
      </c>
      <c r="F123" s="73">
        <v>17.0</v>
      </c>
      <c r="G123" s="74">
        <f t="shared" si="1"/>
        <v>20</v>
      </c>
    </row>
    <row r="124" ht="15.75" customHeight="1">
      <c r="B124" s="14"/>
      <c r="C124" s="75" t="s">
        <v>11</v>
      </c>
      <c r="D124" s="75" t="s">
        <v>9</v>
      </c>
      <c r="E124" s="76">
        <v>0.0</v>
      </c>
      <c r="F124" s="77">
        <v>0.0</v>
      </c>
      <c r="G124" s="78">
        <f t="shared" si="1"/>
        <v>0</v>
      </c>
    </row>
    <row r="125" ht="15.75" customHeight="1">
      <c r="B125" s="24"/>
      <c r="C125" s="118" t="s">
        <v>12</v>
      </c>
      <c r="D125" s="59" t="s">
        <v>9</v>
      </c>
      <c r="E125" s="59">
        <v>0.0</v>
      </c>
      <c r="F125" s="60">
        <v>0.0</v>
      </c>
      <c r="G125" s="119">
        <f t="shared" si="1"/>
        <v>0</v>
      </c>
    </row>
    <row r="126" ht="15.75" customHeight="1">
      <c r="B126" s="28" t="s">
        <v>37</v>
      </c>
      <c r="C126" s="63" t="s">
        <v>8</v>
      </c>
      <c r="D126" s="64" t="s">
        <v>9</v>
      </c>
      <c r="E126" s="64">
        <v>40.0</v>
      </c>
      <c r="F126" s="65">
        <v>46.0</v>
      </c>
      <c r="G126" s="66">
        <f t="shared" si="1"/>
        <v>86</v>
      </c>
    </row>
    <row r="127" ht="15.75" customHeight="1">
      <c r="B127" s="14"/>
      <c r="C127" s="67" t="s">
        <v>11</v>
      </c>
      <c r="D127" s="68" t="s">
        <v>9</v>
      </c>
      <c r="E127" s="68">
        <v>1.0</v>
      </c>
      <c r="F127" s="69">
        <v>1.0</v>
      </c>
      <c r="G127" s="70">
        <f t="shared" si="1"/>
        <v>2</v>
      </c>
    </row>
    <row r="128" ht="15.75" customHeight="1">
      <c r="B128" s="24"/>
      <c r="C128" s="82" t="s">
        <v>12</v>
      </c>
      <c r="D128" s="82" t="s">
        <v>9</v>
      </c>
      <c r="E128" s="82">
        <v>0.0</v>
      </c>
      <c r="F128" s="83">
        <v>1.0</v>
      </c>
      <c r="G128" s="43">
        <f t="shared" si="1"/>
        <v>1</v>
      </c>
    </row>
    <row r="129" ht="15.75" customHeight="1">
      <c r="B129" s="44" t="s">
        <v>38</v>
      </c>
      <c r="C129" s="71" t="s">
        <v>8</v>
      </c>
      <c r="D129" s="72" t="s">
        <v>9</v>
      </c>
      <c r="E129" s="72">
        <v>0.0</v>
      </c>
      <c r="F129" s="73">
        <v>0.0</v>
      </c>
      <c r="G129" s="74">
        <f t="shared" si="1"/>
        <v>0</v>
      </c>
    </row>
    <row r="130" ht="15.75" customHeight="1">
      <c r="B130" s="14"/>
      <c r="C130" s="75" t="s">
        <v>11</v>
      </c>
      <c r="D130" s="76" t="s">
        <v>9</v>
      </c>
      <c r="E130" s="76">
        <v>0.0</v>
      </c>
      <c r="F130" s="77">
        <v>0.0</v>
      </c>
      <c r="G130" s="78">
        <f t="shared" si="1"/>
        <v>0</v>
      </c>
    </row>
    <row r="131" ht="15.75" customHeight="1">
      <c r="B131" s="24"/>
      <c r="C131" s="87" t="s">
        <v>12</v>
      </c>
      <c r="D131" s="87" t="s">
        <v>9</v>
      </c>
      <c r="E131" s="87">
        <v>0.0</v>
      </c>
      <c r="F131" s="105">
        <v>0.0</v>
      </c>
      <c r="G131" s="61">
        <f t="shared" si="1"/>
        <v>0</v>
      </c>
    </row>
    <row r="132" ht="15.75" customHeight="1">
      <c r="B132" s="120" t="s">
        <v>6</v>
      </c>
      <c r="C132" s="121"/>
      <c r="D132" s="122"/>
      <c r="E132" s="123">
        <f t="shared" ref="E132:G132" si="2">SUM(E3:E131)</f>
        <v>969</v>
      </c>
      <c r="F132" s="123">
        <f t="shared" si="2"/>
        <v>1247</v>
      </c>
      <c r="G132" s="123">
        <f t="shared" si="2"/>
        <v>2216</v>
      </c>
    </row>
    <row r="133" ht="15.75" customHeight="1">
      <c r="D133" s="124"/>
    </row>
    <row r="134" ht="15.75" customHeight="1">
      <c r="B134" s="125" t="s">
        <v>39</v>
      </c>
      <c r="C134" s="126" t="s">
        <v>9</v>
      </c>
      <c r="D134" s="127"/>
      <c r="E134" s="128">
        <f>SUM(G3,G9,G15,G21,G27,G33,G36,G39,G45,G51,G57,G63,G69,G75,G81,G84,G90,G93,G96,G99,G105,G111,G114,G117,G123,G126,G129)</f>
        <v>1289</v>
      </c>
    </row>
    <row r="135" ht="15.75" customHeight="1">
      <c r="B135" s="129"/>
      <c r="C135" s="130" t="s">
        <v>10</v>
      </c>
      <c r="D135" s="131"/>
      <c r="E135" s="132">
        <f>SUM(G4,G10,G16,G22,G28,G40,G46,G52,G58,G64,G70,G76,G85,G100,G106,G118)</f>
        <v>594</v>
      </c>
    </row>
    <row r="136" ht="15.75" customHeight="1">
      <c r="B136" s="133"/>
      <c r="C136" s="120" t="s">
        <v>6</v>
      </c>
      <c r="D136" s="134"/>
      <c r="E136" s="135">
        <f>SUM(E134:E135)</f>
        <v>1883</v>
      </c>
    </row>
    <row r="137" ht="15.75" customHeight="1">
      <c r="D137" s="124"/>
    </row>
    <row r="138" ht="15.75" customHeight="1">
      <c r="B138" s="125" t="s">
        <v>40</v>
      </c>
      <c r="C138" s="126" t="s">
        <v>9</v>
      </c>
      <c r="D138" s="127"/>
      <c r="E138" s="128">
        <f>SUM(G5,G11,G17,G23,G29,G34,G37,G41,G47,G53,G59,G65,G71,G77,G82,G86,G91,G94,G97,G101,G107,G112,G115,G119,G124,G127,G130)</f>
        <v>240</v>
      </c>
    </row>
    <row r="139" ht="15.75" customHeight="1">
      <c r="B139" s="129"/>
      <c r="C139" s="130" t="s">
        <v>10</v>
      </c>
      <c r="D139" s="131"/>
      <c r="E139" s="132">
        <f>SUM(G6,G12,G18,G24,G30,G42,G48,G54,G60,G66,G72,G78,G87,G102,G108,G120)</f>
        <v>41</v>
      </c>
    </row>
    <row r="140" ht="15.75" customHeight="1">
      <c r="B140" s="133"/>
      <c r="C140" s="136" t="s">
        <v>6</v>
      </c>
      <c r="D140" s="134"/>
      <c r="E140" s="135">
        <f>SUM(E138:E139)</f>
        <v>281</v>
      </c>
    </row>
    <row r="141" ht="15.75" customHeight="1">
      <c r="B141" s="137"/>
      <c r="C141" s="137"/>
      <c r="D141" s="137"/>
      <c r="E141" s="137"/>
    </row>
    <row r="142" ht="15.75" customHeight="1">
      <c r="B142" s="125" t="s">
        <v>41</v>
      </c>
      <c r="C142" s="126" t="s">
        <v>9</v>
      </c>
      <c r="D142" s="127"/>
      <c r="E142" s="128">
        <f>SUM(E3,E5,E9,E11,E15,E17,E21,E23,E27,E29,E33,E34,E36,E37,E39,E41,E45,E47,E51,E53,E57,E59,E63,E65,E69,E71,E75,E77,E81,E82,E84,E86,E90,E91,E93,E94,E96,E97,E99,E101,E105,E107,E111,E112,E114,E115,E117,E119,E123,E124,E126,E127,E129,E130)</f>
        <v>651</v>
      </c>
    </row>
    <row r="143" ht="15.75" customHeight="1">
      <c r="B143" s="129"/>
      <c r="C143" s="130" t="s">
        <v>10</v>
      </c>
      <c r="D143" s="131"/>
      <c r="E143" s="132">
        <f>SUM(E4,E6,E10,E12,E16,E18,E22,E24,E28,E30,E40,E42,E46,E48,E52,E54,E58,E60,E64,E66,E70,E72,E76,E78,E85,E87,E100,E102,E106,E108,E118,E120)</f>
        <v>287</v>
      </c>
    </row>
    <row r="144" ht="15.75" customHeight="1">
      <c r="B144" s="133"/>
      <c r="C144" s="136" t="s">
        <v>6</v>
      </c>
      <c r="D144" s="134"/>
      <c r="E144" s="135">
        <f>SUM(E142:E143)</f>
        <v>938</v>
      </c>
    </row>
    <row r="145" ht="15.75" customHeight="1">
      <c r="B145" s="137"/>
      <c r="C145" s="137"/>
      <c r="D145" s="137"/>
      <c r="E145" s="137"/>
    </row>
    <row r="146" ht="15.75" customHeight="1">
      <c r="B146" s="125" t="s">
        <v>42</v>
      </c>
      <c r="C146" s="126" t="s">
        <v>9</v>
      </c>
      <c r="D146" s="127"/>
      <c r="E146" s="128">
        <f>SUM(F3,F5,F9,F11,F15,F17,F21,F23,F27,F29,F33,F34,F36,F37,F39,F41,F45,F47,F51,F53,F57,F59,F63,F65,F69,F71,F75,F77,F81,F82,F84,F86,F90,F91,F93,F94,F96,F97,F99,F101,F105,F107,F111,F112,F114,F115,F117,F119,F123,F124,F126,F127,F129,F130)</f>
        <v>878</v>
      </c>
    </row>
    <row r="147" ht="15.75" customHeight="1">
      <c r="B147" s="129"/>
      <c r="C147" s="130" t="s">
        <v>10</v>
      </c>
      <c r="D147" s="131"/>
      <c r="E147" s="132">
        <f>SUM(F4,F6,F10,F12,F16,F18,F22,F24,F28,F30,F40,F42,F46,F48,F52,F54,F58,F60,F64,F66,F70,F72,F76,F78,F85,F87,F100,F102,F106,F108,F118,F120)</f>
        <v>348</v>
      </c>
    </row>
    <row r="148" ht="15.75" customHeight="1">
      <c r="B148" s="133"/>
      <c r="C148" s="136" t="s">
        <v>6</v>
      </c>
      <c r="D148" s="134"/>
      <c r="E148" s="135">
        <f>SUM(E146:E147)</f>
        <v>1226</v>
      </c>
    </row>
    <row r="149" ht="15.75" customHeight="1">
      <c r="D149" s="124"/>
    </row>
    <row r="150" ht="15.75" customHeight="1">
      <c r="B150" s="138" t="s">
        <v>6</v>
      </c>
      <c r="C150" s="139" t="s">
        <v>9</v>
      </c>
      <c r="D150" s="127"/>
      <c r="E150" s="140">
        <f t="shared" ref="E150:E151" si="3">SUM(E134,E138)</f>
        <v>1529</v>
      </c>
    </row>
    <row r="151" ht="15.75" customHeight="1">
      <c r="B151" s="141"/>
      <c r="C151" s="142" t="s">
        <v>10</v>
      </c>
      <c r="D151" s="143"/>
      <c r="E151" s="144">
        <f t="shared" si="3"/>
        <v>635</v>
      </c>
    </row>
    <row r="152" ht="15.75" customHeight="1">
      <c r="B152" s="145"/>
      <c r="C152" s="146" t="s">
        <v>43</v>
      </c>
      <c r="D152" s="147"/>
      <c r="E152" s="148">
        <f>SUM(E150:E151)</f>
        <v>2164</v>
      </c>
    </row>
    <row r="153" ht="15.75" customHeight="1">
      <c r="D153" s="124"/>
    </row>
    <row r="154" ht="15.75" customHeight="1">
      <c r="D154" s="124"/>
    </row>
    <row r="155" ht="15.75" customHeight="1">
      <c r="B155" s="149" t="s">
        <v>44</v>
      </c>
      <c r="C155" s="150"/>
      <c r="D155" s="150"/>
      <c r="E155" s="151"/>
    </row>
    <row r="156" ht="15.75" customHeight="1">
      <c r="B156" s="152" t="s">
        <v>45</v>
      </c>
      <c r="C156" s="153" t="s">
        <v>9</v>
      </c>
      <c r="D156" s="154"/>
      <c r="E156" s="155">
        <f t="shared" ref="E156:E157" si="4">SUM(G84,G86,G99,G101,G105,G107)</f>
        <v>153</v>
      </c>
    </row>
    <row r="157" ht="15.75" customHeight="1">
      <c r="B157" s="129"/>
      <c r="C157" s="153" t="s">
        <v>10</v>
      </c>
      <c r="D157" s="154"/>
      <c r="E157" s="155">
        <f t="shared" si="4"/>
        <v>103</v>
      </c>
    </row>
    <row r="158" ht="15.75" customHeight="1">
      <c r="B158" s="156"/>
      <c r="C158" s="157" t="s">
        <v>6</v>
      </c>
      <c r="D158" s="154"/>
      <c r="E158" s="158">
        <f>SUM(E156:E157)</f>
        <v>256</v>
      </c>
    </row>
    <row r="159" ht="15.75" customHeight="1">
      <c r="B159" s="159"/>
      <c r="C159" s="160"/>
      <c r="D159" s="160"/>
      <c r="E159" s="155"/>
    </row>
    <row r="160" ht="15.75" customHeight="1">
      <c r="B160" s="152" t="s">
        <v>46</v>
      </c>
      <c r="C160" s="153" t="s">
        <v>9</v>
      </c>
      <c r="D160" s="154"/>
      <c r="E160" s="155">
        <f>SUM(G15,G17,G123,G124)</f>
        <v>69</v>
      </c>
    </row>
    <row r="161" ht="15.75" customHeight="1">
      <c r="B161" s="129"/>
      <c r="C161" s="153" t="s">
        <v>10</v>
      </c>
      <c r="D161" s="154"/>
      <c r="E161" s="155">
        <f>SUM(G16,G18)</f>
        <v>53</v>
      </c>
    </row>
    <row r="162" ht="15.75" customHeight="1">
      <c r="B162" s="156"/>
      <c r="C162" s="157" t="s">
        <v>6</v>
      </c>
      <c r="D162" s="154"/>
      <c r="E162" s="158">
        <f>SUM(E160:E161)</f>
        <v>122</v>
      </c>
    </row>
    <row r="163" ht="15.75" customHeight="1">
      <c r="B163" s="159"/>
      <c r="C163" s="160"/>
      <c r="D163" s="161"/>
      <c r="E163" s="155"/>
    </row>
    <row r="164" ht="15.75" customHeight="1">
      <c r="B164" s="152" t="s">
        <v>47</v>
      </c>
      <c r="C164" s="153" t="s">
        <v>9</v>
      </c>
      <c r="D164" s="154"/>
      <c r="E164" s="155">
        <f t="shared" ref="E164:E165" si="5">SUM(G39,G41)</f>
        <v>63</v>
      </c>
    </row>
    <row r="165" ht="15.75" customHeight="1">
      <c r="B165" s="129"/>
      <c r="C165" s="153" t="s">
        <v>10</v>
      </c>
      <c r="D165" s="154"/>
      <c r="E165" s="155">
        <f t="shared" si="5"/>
        <v>51</v>
      </c>
    </row>
    <row r="166" ht="15.75" customHeight="1">
      <c r="B166" s="156"/>
      <c r="C166" s="157" t="s">
        <v>6</v>
      </c>
      <c r="D166" s="154"/>
      <c r="E166" s="158">
        <f>SUM(E164:E165)</f>
        <v>114</v>
      </c>
    </row>
    <row r="167" ht="15.75" customHeight="1">
      <c r="B167" s="159"/>
      <c r="C167" s="160"/>
      <c r="D167" s="161"/>
      <c r="E167" s="155"/>
    </row>
    <row r="168" ht="15.75" customHeight="1">
      <c r="B168" s="152" t="s">
        <v>48</v>
      </c>
      <c r="C168" s="153" t="s">
        <v>9</v>
      </c>
      <c r="D168" s="154"/>
      <c r="E168" s="155">
        <f>SUM(G27,G29,G33,G34)</f>
        <v>101</v>
      </c>
    </row>
    <row r="169" ht="15.75" customHeight="1">
      <c r="B169" s="129"/>
      <c r="C169" s="153" t="s">
        <v>10</v>
      </c>
      <c r="D169" s="154"/>
      <c r="E169" s="155">
        <f>SUM(G28,G30)</f>
        <v>54</v>
      </c>
    </row>
    <row r="170" ht="15.75" customHeight="1">
      <c r="B170" s="156"/>
      <c r="C170" s="157" t="s">
        <v>6</v>
      </c>
      <c r="D170" s="154"/>
      <c r="E170" s="158">
        <f>SUM(E168:E169)</f>
        <v>155</v>
      </c>
    </row>
    <row r="171" ht="15.75" customHeight="1">
      <c r="B171" s="159"/>
      <c r="C171" s="160"/>
      <c r="D171" s="161"/>
      <c r="E171" s="155"/>
    </row>
    <row r="172" ht="15.75" customHeight="1">
      <c r="B172" s="152" t="s">
        <v>49</v>
      </c>
      <c r="C172" s="153" t="s">
        <v>9</v>
      </c>
      <c r="D172" s="154"/>
      <c r="E172" s="155">
        <f t="shared" ref="E172:E173" si="6">SUM(G3,G5)</f>
        <v>52</v>
      </c>
    </row>
    <row r="173" ht="15.75" customHeight="1">
      <c r="B173" s="129"/>
      <c r="C173" s="153" t="s">
        <v>10</v>
      </c>
      <c r="D173" s="154"/>
      <c r="E173" s="155">
        <f t="shared" si="6"/>
        <v>65</v>
      </c>
    </row>
    <row r="174" ht="15.75" customHeight="1">
      <c r="B174" s="156"/>
      <c r="C174" s="157" t="s">
        <v>6</v>
      </c>
      <c r="D174" s="154"/>
      <c r="E174" s="158">
        <f>SUM(E172:E173)</f>
        <v>117</v>
      </c>
    </row>
    <row r="175" ht="15.75" customHeight="1">
      <c r="B175" s="159"/>
      <c r="C175" s="160"/>
      <c r="D175" s="161"/>
      <c r="E175" s="155"/>
    </row>
    <row r="176" ht="15.75" customHeight="1">
      <c r="B176" s="152" t="s">
        <v>50</v>
      </c>
      <c r="C176" s="153" t="s">
        <v>9</v>
      </c>
      <c r="D176" s="154"/>
      <c r="E176" s="155">
        <f t="shared" ref="E176:E177" si="7">SUM(G45,G47,G51,G53,G57,G59)</f>
        <v>326</v>
      </c>
    </row>
    <row r="177" ht="15.75" customHeight="1">
      <c r="B177" s="129"/>
      <c r="C177" s="153" t="s">
        <v>10</v>
      </c>
      <c r="D177" s="154"/>
      <c r="E177" s="155">
        <f t="shared" si="7"/>
        <v>173</v>
      </c>
    </row>
    <row r="178" ht="15.75" customHeight="1">
      <c r="B178" s="156"/>
      <c r="C178" s="157" t="s">
        <v>6</v>
      </c>
      <c r="D178" s="154"/>
      <c r="E178" s="158">
        <f>SUM(E176:E177)</f>
        <v>499</v>
      </c>
    </row>
    <row r="179" ht="15.75" customHeight="1">
      <c r="B179" s="159"/>
      <c r="C179" s="160"/>
      <c r="D179" s="161"/>
      <c r="E179" s="155"/>
    </row>
    <row r="180" ht="15.75" customHeight="1">
      <c r="B180" s="152" t="s">
        <v>51</v>
      </c>
      <c r="C180" s="153" t="s">
        <v>9</v>
      </c>
      <c r="D180" s="154"/>
      <c r="E180" s="155">
        <f>SUM(G81,G82)</f>
        <v>83</v>
      </c>
    </row>
    <row r="181" ht="15.75" customHeight="1">
      <c r="B181" s="129"/>
      <c r="C181" s="153" t="s">
        <v>10</v>
      </c>
      <c r="D181" s="154"/>
      <c r="E181" s="155">
        <v>0.0</v>
      </c>
    </row>
    <row r="182" ht="15.75" customHeight="1">
      <c r="B182" s="156"/>
      <c r="C182" s="157" t="s">
        <v>6</v>
      </c>
      <c r="D182" s="154"/>
      <c r="E182" s="158">
        <f>SUM(E180:E181)</f>
        <v>83</v>
      </c>
    </row>
    <row r="183" ht="15.75" customHeight="1">
      <c r="B183" s="159"/>
      <c r="C183" s="160"/>
      <c r="D183" s="161"/>
      <c r="E183" s="155"/>
    </row>
    <row r="184" ht="15.75" customHeight="1">
      <c r="B184" s="152" t="s">
        <v>52</v>
      </c>
      <c r="C184" s="153" t="s">
        <v>9</v>
      </c>
      <c r="D184" s="154"/>
      <c r="E184" s="155">
        <f>SUM(G21,G23,G36,G37,G63,G65,G69,G71,G90,G91,G129,G130)</f>
        <v>247</v>
      </c>
    </row>
    <row r="185" ht="15.75" customHeight="1">
      <c r="B185" s="129"/>
      <c r="C185" s="153" t="s">
        <v>10</v>
      </c>
      <c r="D185" s="154"/>
      <c r="E185" s="155">
        <f>SUM(G22,G24,G64,G66,G70,G72)</f>
        <v>61</v>
      </c>
    </row>
    <row r="186" ht="15.75" customHeight="1">
      <c r="B186" s="156"/>
      <c r="C186" s="157" t="s">
        <v>6</v>
      </c>
      <c r="D186" s="154"/>
      <c r="E186" s="158">
        <f>SUM(E184:E185)</f>
        <v>308</v>
      </c>
    </row>
    <row r="187" ht="15.75" customHeight="1">
      <c r="B187" s="159"/>
      <c r="C187" s="160"/>
      <c r="D187" s="161"/>
      <c r="E187" s="155"/>
    </row>
    <row r="188" ht="15.75" customHeight="1">
      <c r="B188" s="152" t="s">
        <v>53</v>
      </c>
      <c r="C188" s="153" t="s">
        <v>9</v>
      </c>
      <c r="D188" s="154"/>
      <c r="E188" s="155">
        <f>SUM(G93,G94,G111,G112,G126,G127)</f>
        <v>250</v>
      </c>
    </row>
    <row r="189" ht="15.75" customHeight="1">
      <c r="B189" s="129"/>
      <c r="C189" s="153" t="s">
        <v>10</v>
      </c>
      <c r="D189" s="154"/>
      <c r="E189" s="155">
        <v>0.0</v>
      </c>
    </row>
    <row r="190" ht="15.75" customHeight="1">
      <c r="B190" s="156"/>
      <c r="C190" s="157" t="s">
        <v>6</v>
      </c>
      <c r="D190" s="154"/>
      <c r="E190" s="158">
        <f>SUM(E188:E189)</f>
        <v>250</v>
      </c>
    </row>
    <row r="191" ht="15.75" customHeight="1">
      <c r="B191" s="159"/>
      <c r="C191" s="160"/>
      <c r="D191" s="161"/>
      <c r="E191" s="155"/>
    </row>
    <row r="192" ht="15.75" customHeight="1">
      <c r="B192" s="152" t="s">
        <v>54</v>
      </c>
      <c r="C192" s="153" t="s">
        <v>9</v>
      </c>
      <c r="D192" s="154"/>
      <c r="E192" s="155">
        <f>SUM(G9,G11,G75,G77,G96,G97,G114,G115,G117,G119)</f>
        <v>185</v>
      </c>
    </row>
    <row r="193" ht="15.75" customHeight="1">
      <c r="B193" s="129"/>
      <c r="C193" s="153" t="s">
        <v>10</v>
      </c>
      <c r="D193" s="154"/>
      <c r="E193" s="155">
        <f>SUM(G10,G12,G76,G78,G118,G120)</f>
        <v>75</v>
      </c>
    </row>
    <row r="194" ht="15.75" customHeight="1">
      <c r="B194" s="133"/>
      <c r="C194" s="162" t="s">
        <v>6</v>
      </c>
      <c r="D194" s="163"/>
      <c r="E194" s="164">
        <f>SUM(E192:E193)</f>
        <v>260</v>
      </c>
    </row>
    <row r="195" ht="15.75" customHeight="1">
      <c r="B195" s="165"/>
      <c r="C195" s="165"/>
      <c r="D195" s="166"/>
      <c r="E195" s="137"/>
    </row>
    <row r="196" ht="15.75" customHeight="1">
      <c r="B196" s="165"/>
      <c r="C196" s="165"/>
      <c r="D196" s="166"/>
      <c r="E196" s="137"/>
    </row>
    <row r="197" ht="15.75" customHeight="1">
      <c r="D197" s="124"/>
      <c r="E197" s="167"/>
    </row>
    <row r="198" ht="15.75" customHeight="1">
      <c r="D198" s="124"/>
      <c r="E198" s="167"/>
    </row>
    <row r="199" ht="15.75" customHeight="1">
      <c r="D199" s="124"/>
      <c r="E199" s="167"/>
    </row>
    <row r="200" ht="15.75" customHeight="1">
      <c r="D200" s="124"/>
      <c r="E200" s="167"/>
    </row>
    <row r="201" ht="15.75" customHeight="1">
      <c r="D201" s="124"/>
      <c r="E201" s="167"/>
    </row>
    <row r="202" ht="15.75" customHeight="1">
      <c r="D202" s="124"/>
      <c r="E202" s="167"/>
    </row>
    <row r="203" ht="15.75" customHeight="1">
      <c r="D203" s="124"/>
      <c r="E203" s="167"/>
    </row>
    <row r="204" ht="15.75" customHeight="1">
      <c r="D204" s="124"/>
      <c r="E204" s="167"/>
    </row>
    <row r="205" ht="15.75" customHeight="1">
      <c r="D205" s="124"/>
      <c r="E205" s="167"/>
    </row>
    <row r="206" ht="15.75" customHeight="1">
      <c r="D206" s="124"/>
      <c r="E206" s="167"/>
    </row>
    <row r="207" ht="15.75" customHeight="1">
      <c r="D207" s="124"/>
    </row>
    <row r="208" ht="15.75" customHeight="1">
      <c r="D208" s="124"/>
    </row>
    <row r="209" ht="15.75" customHeight="1">
      <c r="D209" s="124"/>
    </row>
    <row r="210" ht="15.75" customHeight="1">
      <c r="D210" s="124"/>
    </row>
    <row r="211" ht="15.75" customHeight="1">
      <c r="D211" s="124"/>
    </row>
    <row r="212" ht="15.75" customHeight="1">
      <c r="D212" s="124"/>
    </row>
    <row r="213" ht="15.75" customHeight="1">
      <c r="D213" s="124"/>
    </row>
    <row r="214" ht="15.75" customHeight="1">
      <c r="D214" s="124"/>
    </row>
    <row r="215" ht="15.75" customHeight="1">
      <c r="D215" s="124"/>
    </row>
    <row r="216" ht="15.75" customHeight="1">
      <c r="D216" s="124"/>
    </row>
    <row r="217" ht="15.75" customHeight="1">
      <c r="D217" s="124"/>
    </row>
    <row r="218" ht="15.75" customHeight="1">
      <c r="D218" s="124"/>
    </row>
    <row r="219" ht="15.75" customHeight="1">
      <c r="D219" s="124"/>
    </row>
    <row r="220" ht="15.75" customHeight="1">
      <c r="D220" s="124"/>
    </row>
    <row r="221" ht="15.75" customHeight="1">
      <c r="D221" s="124"/>
    </row>
    <row r="222" ht="15.75" customHeight="1">
      <c r="D222" s="124"/>
    </row>
    <row r="223" ht="15.75" customHeight="1">
      <c r="D223" s="124"/>
    </row>
    <row r="224" ht="15.75" customHeight="1">
      <c r="D224" s="124"/>
    </row>
    <row r="225" ht="15.75" customHeight="1">
      <c r="D225" s="124"/>
    </row>
    <row r="226" ht="15.75" customHeight="1">
      <c r="D226" s="124"/>
    </row>
    <row r="227" ht="15.75" customHeight="1">
      <c r="D227" s="124"/>
    </row>
    <row r="228" ht="15.75" customHeight="1">
      <c r="D228" s="124"/>
    </row>
    <row r="229" ht="15.75" customHeight="1">
      <c r="D229" s="124"/>
    </row>
    <row r="230" ht="15.75" customHeight="1">
      <c r="D230" s="124"/>
    </row>
    <row r="231" ht="15.75" customHeight="1">
      <c r="D231" s="124"/>
    </row>
    <row r="232" ht="15.75" customHeight="1">
      <c r="D232" s="124"/>
    </row>
    <row r="233" ht="15.75" customHeight="1">
      <c r="D233" s="124"/>
    </row>
    <row r="234" ht="15.75" customHeight="1">
      <c r="D234" s="124"/>
    </row>
    <row r="235" ht="15.75" customHeight="1">
      <c r="D235" s="124"/>
    </row>
    <row r="236" ht="15.75" customHeight="1">
      <c r="D236" s="124"/>
    </row>
    <row r="237" ht="15.75" customHeight="1">
      <c r="D237" s="124"/>
    </row>
    <row r="238" ht="15.75" customHeight="1">
      <c r="D238" s="124"/>
    </row>
    <row r="239" ht="15.75" customHeight="1">
      <c r="D239" s="124"/>
    </row>
    <row r="240" ht="15.75" customHeight="1">
      <c r="D240" s="124"/>
    </row>
    <row r="241" ht="15.75" customHeight="1">
      <c r="D241" s="124"/>
    </row>
    <row r="242" ht="15.75" customHeight="1">
      <c r="D242" s="124"/>
    </row>
    <row r="243" ht="15.75" customHeight="1">
      <c r="D243" s="124"/>
    </row>
    <row r="244" ht="15.75" customHeight="1">
      <c r="D244" s="124"/>
    </row>
    <row r="245" ht="15.75" customHeight="1">
      <c r="D245" s="124"/>
    </row>
    <row r="246" ht="15.75" customHeight="1">
      <c r="D246" s="124"/>
    </row>
    <row r="247" ht="15.75" customHeight="1">
      <c r="D247" s="124"/>
    </row>
    <row r="248" ht="15.75" customHeight="1">
      <c r="D248" s="124"/>
    </row>
    <row r="249" ht="15.75" customHeight="1">
      <c r="D249" s="124"/>
    </row>
    <row r="250" ht="15.75" customHeight="1">
      <c r="D250" s="124"/>
    </row>
    <row r="251" ht="15.75" customHeight="1">
      <c r="D251" s="124"/>
    </row>
    <row r="252" ht="15.75" customHeight="1">
      <c r="D252" s="124"/>
    </row>
    <row r="253" ht="15.75" customHeight="1">
      <c r="D253" s="124"/>
    </row>
    <row r="254" ht="15.75" customHeight="1">
      <c r="D254" s="124"/>
    </row>
    <row r="255" ht="15.75" customHeight="1">
      <c r="D255" s="124"/>
    </row>
    <row r="256" ht="15.75" customHeight="1">
      <c r="D256" s="124"/>
    </row>
    <row r="257" ht="15.75" customHeight="1">
      <c r="D257" s="124"/>
    </row>
    <row r="258" ht="15.75" customHeight="1">
      <c r="D258" s="124"/>
    </row>
    <row r="259" ht="15.75" customHeight="1">
      <c r="D259" s="124"/>
    </row>
    <row r="260" ht="15.75" customHeight="1">
      <c r="D260" s="124"/>
    </row>
    <row r="261" ht="15.75" customHeight="1">
      <c r="D261" s="124"/>
    </row>
    <row r="262" ht="15.75" customHeight="1">
      <c r="D262" s="124"/>
    </row>
    <row r="263" ht="15.75" customHeight="1">
      <c r="D263" s="124"/>
    </row>
    <row r="264" ht="15.75" customHeight="1">
      <c r="D264" s="124"/>
    </row>
    <row r="265" ht="15.75" customHeight="1">
      <c r="D265" s="124"/>
    </row>
    <row r="266" ht="15.75" customHeight="1">
      <c r="D266" s="124"/>
    </row>
    <row r="267" ht="15.75" customHeight="1">
      <c r="D267" s="124"/>
    </row>
    <row r="268" ht="15.75" customHeight="1">
      <c r="D268" s="124"/>
    </row>
    <row r="269" ht="15.75" customHeight="1">
      <c r="D269" s="124"/>
    </row>
    <row r="270" ht="15.75" customHeight="1">
      <c r="D270" s="124"/>
    </row>
    <row r="271" ht="15.75" customHeight="1">
      <c r="D271" s="124"/>
    </row>
    <row r="272" ht="15.75" customHeight="1">
      <c r="D272" s="124"/>
    </row>
    <row r="273" ht="15.75" customHeight="1">
      <c r="D273" s="124"/>
    </row>
    <row r="274" ht="15.75" customHeight="1">
      <c r="D274" s="124"/>
    </row>
    <row r="275" ht="15.75" customHeight="1">
      <c r="D275" s="124"/>
    </row>
    <row r="276" ht="15.75" customHeight="1">
      <c r="D276" s="124"/>
    </row>
    <row r="277" ht="15.75" customHeight="1">
      <c r="D277" s="124"/>
    </row>
    <row r="278" ht="15.75" customHeight="1">
      <c r="D278" s="124"/>
    </row>
    <row r="279" ht="15.75" customHeight="1">
      <c r="D279" s="124"/>
    </row>
    <row r="280" ht="15.75" customHeight="1">
      <c r="D280" s="124"/>
    </row>
    <row r="281" ht="15.75" customHeight="1">
      <c r="D281" s="124"/>
    </row>
    <row r="282" ht="15.75" customHeight="1">
      <c r="D282" s="124"/>
    </row>
    <row r="283" ht="15.75" customHeight="1">
      <c r="D283" s="124"/>
    </row>
    <row r="284" ht="15.75" customHeight="1">
      <c r="D284" s="124"/>
    </row>
    <row r="285" ht="15.75" customHeight="1">
      <c r="D285" s="124"/>
    </row>
    <row r="286" ht="15.75" customHeight="1">
      <c r="D286" s="124"/>
    </row>
    <row r="287" ht="15.75" customHeight="1">
      <c r="D287" s="124"/>
    </row>
    <row r="288" ht="15.75" customHeight="1">
      <c r="D288" s="124"/>
    </row>
    <row r="289" ht="15.75" customHeight="1">
      <c r="D289" s="124"/>
    </row>
    <row r="290" ht="15.75" customHeight="1">
      <c r="D290" s="124"/>
    </row>
    <row r="291" ht="15.75" customHeight="1">
      <c r="D291" s="124"/>
    </row>
    <row r="292" ht="15.75" customHeight="1">
      <c r="D292" s="124"/>
    </row>
    <row r="293" ht="15.75" customHeight="1">
      <c r="D293" s="124"/>
    </row>
    <row r="294" ht="15.75" customHeight="1">
      <c r="D294" s="124"/>
    </row>
    <row r="295" ht="15.75" customHeight="1">
      <c r="D295" s="124"/>
    </row>
    <row r="296" ht="15.75" customHeight="1">
      <c r="D296" s="124"/>
    </row>
    <row r="297" ht="15.75" customHeight="1">
      <c r="D297" s="124"/>
    </row>
    <row r="298" ht="15.75" customHeight="1">
      <c r="D298" s="124"/>
    </row>
    <row r="299" ht="15.75" customHeight="1">
      <c r="D299" s="124"/>
    </row>
    <row r="300" ht="15.75" customHeight="1">
      <c r="D300" s="124"/>
    </row>
    <row r="301" ht="15.75" customHeight="1">
      <c r="D301" s="124"/>
    </row>
    <row r="302" ht="15.75" customHeight="1">
      <c r="D302" s="124"/>
    </row>
    <row r="303" ht="15.75" customHeight="1">
      <c r="D303" s="124"/>
    </row>
    <row r="304" ht="15.75" customHeight="1">
      <c r="D304" s="124"/>
    </row>
    <row r="305" ht="15.75" customHeight="1">
      <c r="D305" s="124"/>
    </row>
    <row r="306" ht="15.75" customHeight="1">
      <c r="D306" s="124"/>
    </row>
    <row r="307" ht="15.75" customHeight="1">
      <c r="D307" s="124"/>
    </row>
    <row r="308" ht="15.75" customHeight="1">
      <c r="D308" s="124"/>
    </row>
    <row r="309" ht="15.75" customHeight="1">
      <c r="D309" s="124"/>
    </row>
    <row r="310" ht="15.75" customHeight="1">
      <c r="D310" s="124"/>
    </row>
    <row r="311" ht="15.75" customHeight="1">
      <c r="D311" s="124"/>
    </row>
    <row r="312" ht="15.75" customHeight="1">
      <c r="D312" s="124"/>
    </row>
    <row r="313" ht="15.75" customHeight="1">
      <c r="D313" s="124"/>
    </row>
    <row r="314" ht="15.75" customHeight="1">
      <c r="D314" s="124"/>
    </row>
    <row r="315" ht="15.75" customHeight="1">
      <c r="D315" s="124"/>
    </row>
    <row r="316" ht="15.75" customHeight="1">
      <c r="D316" s="124"/>
    </row>
    <row r="317" ht="15.75" customHeight="1">
      <c r="D317" s="124"/>
    </row>
    <row r="318" ht="15.75" customHeight="1">
      <c r="D318" s="124"/>
    </row>
    <row r="319" ht="15.75" customHeight="1">
      <c r="D319" s="124"/>
    </row>
    <row r="320" ht="15.75" customHeight="1">
      <c r="D320" s="124"/>
    </row>
    <row r="321" ht="15.75" customHeight="1">
      <c r="D321" s="124"/>
    </row>
    <row r="322" ht="15.75" customHeight="1">
      <c r="D322" s="124"/>
    </row>
    <row r="323" ht="15.75" customHeight="1">
      <c r="D323" s="124"/>
    </row>
    <row r="324" ht="15.75" customHeight="1">
      <c r="D324" s="124"/>
    </row>
    <row r="325" ht="15.75" customHeight="1">
      <c r="D325" s="124"/>
    </row>
    <row r="326" ht="15.75" customHeight="1">
      <c r="D326" s="124"/>
    </row>
    <row r="327" ht="15.75" customHeight="1">
      <c r="D327" s="124"/>
    </row>
    <row r="328" ht="15.75" customHeight="1">
      <c r="D328" s="124"/>
    </row>
    <row r="329" ht="15.75" customHeight="1">
      <c r="D329" s="124"/>
    </row>
    <row r="330" ht="15.75" customHeight="1">
      <c r="D330" s="124"/>
    </row>
    <row r="331" ht="15.75" customHeight="1">
      <c r="D331" s="124"/>
    </row>
    <row r="332" ht="15.75" customHeight="1">
      <c r="D332" s="124"/>
    </row>
    <row r="333" ht="15.75" customHeight="1">
      <c r="D333" s="124"/>
    </row>
    <row r="334" ht="15.75" customHeight="1">
      <c r="D334" s="124"/>
    </row>
    <row r="335" ht="15.75" customHeight="1">
      <c r="D335" s="124"/>
    </row>
    <row r="336" ht="15.75" customHeight="1">
      <c r="D336" s="124"/>
    </row>
    <row r="337" ht="15.75" customHeight="1">
      <c r="D337" s="124"/>
    </row>
    <row r="338" ht="15.75" customHeight="1">
      <c r="D338" s="124"/>
    </row>
    <row r="339" ht="15.75" customHeight="1">
      <c r="D339" s="124"/>
    </row>
    <row r="340" ht="15.75" customHeight="1">
      <c r="D340" s="124"/>
    </row>
    <row r="341" ht="15.75" customHeight="1">
      <c r="D341" s="124"/>
    </row>
    <row r="342" ht="15.75" customHeight="1">
      <c r="D342" s="124"/>
    </row>
    <row r="343" ht="15.75" customHeight="1">
      <c r="D343" s="124"/>
    </row>
    <row r="344" ht="15.75" customHeight="1">
      <c r="D344" s="124"/>
    </row>
    <row r="345" ht="15.75" customHeight="1">
      <c r="D345" s="124"/>
    </row>
    <row r="346" ht="15.75" customHeight="1">
      <c r="D346" s="124"/>
    </row>
    <row r="347" ht="15.75" customHeight="1">
      <c r="D347" s="124"/>
    </row>
    <row r="348" ht="15.75" customHeight="1">
      <c r="D348" s="124"/>
    </row>
    <row r="349" ht="15.75" customHeight="1">
      <c r="D349" s="124"/>
    </row>
    <row r="350" ht="15.75" customHeight="1">
      <c r="D350" s="124"/>
    </row>
    <row r="351" ht="15.75" customHeight="1">
      <c r="D351" s="124"/>
    </row>
    <row r="352" ht="15.75" customHeight="1">
      <c r="D352" s="124"/>
    </row>
    <row r="353" ht="15.75" customHeight="1">
      <c r="D353" s="124"/>
    </row>
    <row r="354" ht="15.75" customHeight="1">
      <c r="D354" s="124"/>
    </row>
    <row r="355" ht="15.75" customHeight="1">
      <c r="D355" s="124"/>
    </row>
    <row r="356" ht="15.75" customHeight="1">
      <c r="D356" s="124"/>
    </row>
    <row r="357" ht="15.75" customHeight="1">
      <c r="D357" s="124"/>
    </row>
    <row r="358" ht="15.75" customHeight="1">
      <c r="D358" s="124"/>
    </row>
    <row r="359" ht="15.75" customHeight="1">
      <c r="D359" s="124"/>
    </row>
    <row r="360" ht="15.75" customHeight="1">
      <c r="D360" s="124"/>
    </row>
    <row r="361" ht="15.75" customHeight="1">
      <c r="D361" s="124"/>
    </row>
    <row r="362" ht="15.75" customHeight="1">
      <c r="D362" s="124"/>
    </row>
    <row r="363" ht="15.75" customHeight="1">
      <c r="D363" s="124"/>
    </row>
    <row r="364" ht="15.75" customHeight="1">
      <c r="D364" s="124"/>
    </row>
    <row r="365" ht="15.75" customHeight="1">
      <c r="D365" s="124"/>
    </row>
    <row r="366" ht="15.75" customHeight="1">
      <c r="D366" s="124"/>
    </row>
    <row r="367" ht="15.75" customHeight="1">
      <c r="D367" s="124"/>
    </row>
    <row r="368" ht="15.75" customHeight="1">
      <c r="D368" s="124"/>
    </row>
    <row r="369" ht="15.75" customHeight="1">
      <c r="D369" s="124"/>
    </row>
    <row r="370" ht="15.75" customHeight="1">
      <c r="D370" s="124"/>
    </row>
    <row r="371" ht="15.75" customHeight="1">
      <c r="D371" s="124"/>
    </row>
    <row r="372" ht="15.75" customHeight="1">
      <c r="D372" s="124"/>
    </row>
    <row r="373" ht="15.75" customHeight="1">
      <c r="D373" s="124"/>
    </row>
    <row r="374" ht="15.75" customHeight="1">
      <c r="D374" s="124"/>
    </row>
    <row r="375" ht="15.75" customHeight="1">
      <c r="D375" s="124"/>
    </row>
    <row r="376" ht="15.75" customHeight="1">
      <c r="D376" s="124"/>
    </row>
    <row r="377" ht="15.75" customHeight="1">
      <c r="D377" s="124"/>
    </row>
    <row r="378" ht="15.75" customHeight="1">
      <c r="D378" s="124"/>
    </row>
    <row r="379" ht="15.75" customHeight="1">
      <c r="D379" s="124"/>
    </row>
    <row r="380" ht="15.75" customHeight="1">
      <c r="D380" s="124"/>
    </row>
    <row r="381" ht="15.75" customHeight="1">
      <c r="D381" s="124"/>
    </row>
    <row r="382" ht="15.75" customHeight="1">
      <c r="D382" s="124"/>
    </row>
    <row r="383" ht="15.75" customHeight="1">
      <c r="D383" s="124"/>
    </row>
    <row r="384" ht="15.75" customHeight="1">
      <c r="D384" s="124"/>
    </row>
    <row r="385" ht="15.75" customHeight="1">
      <c r="D385" s="124"/>
    </row>
    <row r="386" ht="15.75" customHeight="1">
      <c r="D386" s="124"/>
    </row>
    <row r="387" ht="15.75" customHeight="1">
      <c r="D387" s="124"/>
    </row>
    <row r="388" ht="15.75" customHeight="1">
      <c r="D388" s="124"/>
    </row>
    <row r="389" ht="15.75" customHeight="1">
      <c r="D389" s="124"/>
    </row>
    <row r="390" ht="15.75" customHeight="1">
      <c r="D390" s="124"/>
    </row>
    <row r="391" ht="15.75" customHeight="1">
      <c r="D391" s="124"/>
    </row>
    <row r="392" ht="15.75" customHeight="1">
      <c r="D392" s="124"/>
    </row>
    <row r="393" ht="15.75" customHeight="1">
      <c r="D393" s="124"/>
    </row>
    <row r="394" ht="15.75" customHeight="1">
      <c r="D394" s="124"/>
    </row>
    <row r="395" ht="15.75" customHeight="1">
      <c r="D395" s="124"/>
    </row>
    <row r="396" ht="15.75" customHeight="1">
      <c r="D396" s="124"/>
    </row>
    <row r="397" ht="15.75" customHeight="1">
      <c r="D397" s="124"/>
    </row>
    <row r="398" ht="15.75" customHeight="1">
      <c r="D398" s="124"/>
    </row>
    <row r="399" ht="15.75" customHeight="1">
      <c r="D399" s="124"/>
    </row>
    <row r="400" ht="15.75" customHeight="1">
      <c r="D400" s="124"/>
    </row>
    <row r="401" ht="15.75" customHeight="1">
      <c r="D401" s="124"/>
    </row>
    <row r="402" ht="15.75" customHeight="1">
      <c r="D402" s="124"/>
    </row>
    <row r="403" ht="15.75" customHeight="1">
      <c r="D403" s="124"/>
    </row>
    <row r="404" ht="15.75" customHeight="1">
      <c r="D404" s="124"/>
    </row>
    <row r="405" ht="15.75" customHeight="1">
      <c r="D405" s="124"/>
    </row>
    <row r="406" ht="15.75" customHeight="1">
      <c r="D406" s="124"/>
    </row>
    <row r="407" ht="15.75" customHeight="1">
      <c r="D407" s="124"/>
    </row>
    <row r="408" ht="15.75" customHeight="1">
      <c r="D408" s="124"/>
    </row>
    <row r="409" ht="15.75" customHeight="1">
      <c r="D409" s="124"/>
    </row>
    <row r="410" ht="15.75" customHeight="1">
      <c r="D410" s="124"/>
    </row>
    <row r="411" ht="15.75" customHeight="1">
      <c r="D411" s="124"/>
    </row>
    <row r="412" ht="15.75" customHeight="1">
      <c r="D412" s="124"/>
    </row>
    <row r="413" ht="15.75" customHeight="1">
      <c r="D413" s="124"/>
    </row>
    <row r="414" ht="15.75" customHeight="1">
      <c r="D414" s="124"/>
    </row>
    <row r="415" ht="15.75" customHeight="1">
      <c r="D415" s="124"/>
    </row>
    <row r="416" ht="15.75" customHeight="1">
      <c r="D416" s="124"/>
    </row>
    <row r="417" ht="15.75" customHeight="1">
      <c r="D417" s="124"/>
    </row>
    <row r="418" ht="15.75" customHeight="1">
      <c r="D418" s="124"/>
    </row>
    <row r="419" ht="15.75" customHeight="1">
      <c r="D419" s="124"/>
    </row>
    <row r="420" ht="15.75" customHeight="1">
      <c r="D420" s="124"/>
    </row>
    <row r="421" ht="15.75" customHeight="1">
      <c r="D421" s="124"/>
    </row>
    <row r="422" ht="15.75" customHeight="1">
      <c r="D422" s="124"/>
    </row>
    <row r="423" ht="15.75" customHeight="1">
      <c r="D423" s="124"/>
    </row>
    <row r="424" ht="15.75" customHeight="1">
      <c r="D424" s="124"/>
    </row>
    <row r="425" ht="15.75" customHeight="1">
      <c r="D425" s="124"/>
    </row>
    <row r="426" ht="15.75" customHeight="1">
      <c r="D426" s="124"/>
    </row>
    <row r="427" ht="15.75" customHeight="1">
      <c r="D427" s="124"/>
    </row>
    <row r="428" ht="15.75" customHeight="1">
      <c r="D428" s="124"/>
    </row>
    <row r="429" ht="15.75" customHeight="1">
      <c r="D429" s="124"/>
    </row>
    <row r="430" ht="15.75" customHeight="1">
      <c r="D430" s="124"/>
    </row>
    <row r="431" ht="15.75" customHeight="1">
      <c r="D431" s="124"/>
    </row>
    <row r="432" ht="15.75" customHeight="1">
      <c r="D432" s="124"/>
    </row>
    <row r="433" ht="15.75" customHeight="1">
      <c r="D433" s="124"/>
    </row>
    <row r="434" ht="15.75" customHeight="1">
      <c r="D434" s="124"/>
    </row>
    <row r="435" ht="15.75" customHeight="1">
      <c r="D435" s="124"/>
    </row>
    <row r="436" ht="15.75" customHeight="1">
      <c r="D436" s="124"/>
    </row>
    <row r="437" ht="15.75" customHeight="1">
      <c r="D437" s="124"/>
    </row>
    <row r="438" ht="15.75" customHeight="1">
      <c r="D438" s="124"/>
    </row>
    <row r="439" ht="15.75" customHeight="1">
      <c r="D439" s="124"/>
    </row>
    <row r="440" ht="15.75" customHeight="1">
      <c r="D440" s="124"/>
    </row>
    <row r="441" ht="15.75" customHeight="1">
      <c r="D441" s="124"/>
    </row>
    <row r="442" ht="15.75" customHeight="1">
      <c r="D442" s="124"/>
    </row>
    <row r="443" ht="15.75" customHeight="1">
      <c r="D443" s="124"/>
    </row>
    <row r="444" ht="15.75" customHeight="1">
      <c r="D444" s="124"/>
    </row>
    <row r="445" ht="15.75" customHeight="1">
      <c r="D445" s="124"/>
    </row>
    <row r="446" ht="15.75" customHeight="1">
      <c r="D446" s="124"/>
    </row>
    <row r="447" ht="15.75" customHeight="1">
      <c r="D447" s="124"/>
    </row>
    <row r="448" ht="15.75" customHeight="1">
      <c r="D448" s="124"/>
    </row>
    <row r="449" ht="15.75" customHeight="1">
      <c r="D449" s="124"/>
    </row>
    <row r="450" ht="15.75" customHeight="1">
      <c r="D450" s="124"/>
    </row>
    <row r="451" ht="15.75" customHeight="1">
      <c r="D451" s="124"/>
    </row>
    <row r="452" ht="15.75" customHeight="1">
      <c r="D452" s="124"/>
    </row>
    <row r="453" ht="15.75" customHeight="1">
      <c r="D453" s="124"/>
    </row>
    <row r="454" ht="15.75" customHeight="1">
      <c r="D454" s="124"/>
    </row>
    <row r="455" ht="15.75" customHeight="1">
      <c r="D455" s="124"/>
    </row>
    <row r="456" ht="15.75" customHeight="1">
      <c r="D456" s="124"/>
    </row>
    <row r="457" ht="15.75" customHeight="1">
      <c r="D457" s="124"/>
    </row>
    <row r="458" ht="15.75" customHeight="1">
      <c r="D458" s="124"/>
    </row>
    <row r="459" ht="15.75" customHeight="1">
      <c r="D459" s="124"/>
    </row>
    <row r="460" ht="15.75" customHeight="1">
      <c r="D460" s="124"/>
    </row>
    <row r="461" ht="15.75" customHeight="1">
      <c r="D461" s="124"/>
    </row>
    <row r="462" ht="15.75" customHeight="1">
      <c r="D462" s="124"/>
    </row>
    <row r="463" ht="15.75" customHeight="1">
      <c r="D463" s="124"/>
    </row>
    <row r="464" ht="15.75" customHeight="1">
      <c r="D464" s="124"/>
    </row>
    <row r="465" ht="15.75" customHeight="1">
      <c r="D465" s="124"/>
    </row>
    <row r="466" ht="15.75" customHeight="1">
      <c r="D466" s="124"/>
    </row>
    <row r="467" ht="15.75" customHeight="1">
      <c r="D467" s="124"/>
    </row>
    <row r="468" ht="15.75" customHeight="1">
      <c r="D468" s="124"/>
    </row>
    <row r="469" ht="15.75" customHeight="1">
      <c r="D469" s="124"/>
    </row>
    <row r="470" ht="15.75" customHeight="1">
      <c r="D470" s="124"/>
    </row>
    <row r="471" ht="15.75" customHeight="1">
      <c r="D471" s="124"/>
    </row>
    <row r="472" ht="15.75" customHeight="1">
      <c r="D472" s="124"/>
    </row>
    <row r="473" ht="15.75" customHeight="1">
      <c r="D473" s="124"/>
    </row>
    <row r="474" ht="15.75" customHeight="1">
      <c r="D474" s="124"/>
    </row>
    <row r="475" ht="15.75" customHeight="1">
      <c r="D475" s="124"/>
    </row>
    <row r="476" ht="15.75" customHeight="1">
      <c r="D476" s="124"/>
    </row>
    <row r="477" ht="15.75" customHeight="1">
      <c r="D477" s="124"/>
    </row>
    <row r="478" ht="15.75" customHeight="1">
      <c r="D478" s="124"/>
    </row>
    <row r="479" ht="15.75" customHeight="1">
      <c r="D479" s="124"/>
    </row>
    <row r="480" ht="15.75" customHeight="1">
      <c r="D480" s="124"/>
    </row>
    <row r="481" ht="15.75" customHeight="1">
      <c r="D481" s="124"/>
    </row>
    <row r="482" ht="15.75" customHeight="1">
      <c r="D482" s="124"/>
    </row>
    <row r="483" ht="15.75" customHeight="1">
      <c r="D483" s="124"/>
    </row>
    <row r="484" ht="15.75" customHeight="1">
      <c r="D484" s="124"/>
    </row>
    <row r="485" ht="15.75" customHeight="1">
      <c r="D485" s="124"/>
    </row>
    <row r="486" ht="15.75" customHeight="1">
      <c r="D486" s="124"/>
    </row>
    <row r="487" ht="15.75" customHeight="1">
      <c r="D487" s="124"/>
    </row>
    <row r="488" ht="15.75" customHeight="1">
      <c r="D488" s="124"/>
    </row>
    <row r="489" ht="15.75" customHeight="1">
      <c r="D489" s="124"/>
    </row>
    <row r="490" ht="15.75" customHeight="1">
      <c r="D490" s="124"/>
    </row>
    <row r="491" ht="15.75" customHeight="1">
      <c r="D491" s="124"/>
    </row>
    <row r="492" ht="15.75" customHeight="1">
      <c r="D492" s="124"/>
    </row>
    <row r="493" ht="15.75" customHeight="1">
      <c r="D493" s="124"/>
    </row>
    <row r="494" ht="15.75" customHeight="1">
      <c r="D494" s="124"/>
    </row>
    <row r="495" ht="15.75" customHeight="1">
      <c r="D495" s="124"/>
    </row>
    <row r="496" ht="15.75" customHeight="1">
      <c r="D496" s="124"/>
    </row>
    <row r="497" ht="15.75" customHeight="1">
      <c r="D497" s="124"/>
    </row>
    <row r="498" ht="15.75" customHeight="1">
      <c r="D498" s="124"/>
    </row>
    <row r="499" ht="15.75" customHeight="1">
      <c r="D499" s="124"/>
    </row>
    <row r="500" ht="15.75" customHeight="1">
      <c r="D500" s="124"/>
    </row>
    <row r="501" ht="15.75" customHeight="1">
      <c r="D501" s="124"/>
    </row>
    <row r="502" ht="15.75" customHeight="1">
      <c r="D502" s="124"/>
    </row>
    <row r="503" ht="15.75" customHeight="1">
      <c r="D503" s="124"/>
    </row>
    <row r="504" ht="15.75" customHeight="1">
      <c r="D504" s="124"/>
    </row>
    <row r="505" ht="15.75" customHeight="1">
      <c r="D505" s="124"/>
    </row>
    <row r="506" ht="15.75" customHeight="1">
      <c r="D506" s="124"/>
    </row>
    <row r="507" ht="15.75" customHeight="1">
      <c r="D507" s="124"/>
    </row>
    <row r="508" ht="15.75" customHeight="1">
      <c r="D508" s="124"/>
    </row>
    <row r="509" ht="15.75" customHeight="1">
      <c r="D509" s="124"/>
    </row>
    <row r="510" ht="15.75" customHeight="1">
      <c r="D510" s="124"/>
    </row>
    <row r="511" ht="15.75" customHeight="1">
      <c r="D511" s="124"/>
    </row>
    <row r="512" ht="15.75" customHeight="1">
      <c r="D512" s="124"/>
    </row>
    <row r="513" ht="15.75" customHeight="1">
      <c r="D513" s="124"/>
    </row>
    <row r="514" ht="15.75" customHeight="1">
      <c r="D514" s="124"/>
    </row>
    <row r="515" ht="15.75" customHeight="1">
      <c r="D515" s="124"/>
    </row>
    <row r="516" ht="15.75" customHeight="1">
      <c r="D516" s="124"/>
    </row>
    <row r="517" ht="15.75" customHeight="1">
      <c r="D517" s="124"/>
    </row>
    <row r="518" ht="15.75" customHeight="1">
      <c r="D518" s="124"/>
    </row>
    <row r="519" ht="15.75" customHeight="1">
      <c r="D519" s="124"/>
    </row>
    <row r="520" ht="15.75" customHeight="1">
      <c r="D520" s="124"/>
    </row>
    <row r="521" ht="15.75" customHeight="1">
      <c r="D521" s="124"/>
    </row>
    <row r="522" ht="15.75" customHeight="1">
      <c r="D522" s="124"/>
    </row>
    <row r="523" ht="15.75" customHeight="1">
      <c r="D523" s="124"/>
    </row>
    <row r="524" ht="15.75" customHeight="1">
      <c r="D524" s="124"/>
    </row>
    <row r="525" ht="15.75" customHeight="1">
      <c r="D525" s="124"/>
    </row>
    <row r="526" ht="15.75" customHeight="1">
      <c r="D526" s="124"/>
    </row>
    <row r="527" ht="15.75" customHeight="1">
      <c r="D527" s="124"/>
    </row>
    <row r="528" ht="15.75" customHeight="1">
      <c r="D528" s="124"/>
    </row>
    <row r="529" ht="15.75" customHeight="1">
      <c r="D529" s="124"/>
    </row>
    <row r="530" ht="15.75" customHeight="1">
      <c r="D530" s="124"/>
    </row>
    <row r="531" ht="15.75" customHeight="1">
      <c r="D531" s="124"/>
    </row>
    <row r="532" ht="15.75" customHeight="1">
      <c r="D532" s="124"/>
    </row>
    <row r="533" ht="15.75" customHeight="1">
      <c r="D533" s="124"/>
    </row>
    <row r="534" ht="15.75" customHeight="1">
      <c r="D534" s="124"/>
    </row>
    <row r="535" ht="15.75" customHeight="1">
      <c r="D535" s="124"/>
    </row>
    <row r="536" ht="15.75" customHeight="1">
      <c r="D536" s="124"/>
    </row>
    <row r="537" ht="15.75" customHeight="1">
      <c r="D537" s="124"/>
    </row>
    <row r="538" ht="15.75" customHeight="1">
      <c r="D538" s="124"/>
    </row>
    <row r="539" ht="15.75" customHeight="1">
      <c r="D539" s="124"/>
    </row>
    <row r="540" ht="15.75" customHeight="1">
      <c r="D540" s="124"/>
    </row>
    <row r="541" ht="15.75" customHeight="1">
      <c r="D541" s="124"/>
    </row>
    <row r="542" ht="15.75" customHeight="1">
      <c r="D542" s="124"/>
    </row>
    <row r="543" ht="15.75" customHeight="1">
      <c r="D543" s="124"/>
    </row>
    <row r="544" ht="15.75" customHeight="1">
      <c r="D544" s="124"/>
    </row>
    <row r="545" ht="15.75" customHeight="1">
      <c r="D545" s="124"/>
    </row>
    <row r="546" ht="15.75" customHeight="1">
      <c r="D546" s="124"/>
    </row>
    <row r="547" ht="15.75" customHeight="1">
      <c r="D547" s="124"/>
    </row>
    <row r="548" ht="15.75" customHeight="1">
      <c r="D548" s="124"/>
    </row>
    <row r="549" ht="15.75" customHeight="1">
      <c r="D549" s="124"/>
    </row>
    <row r="550" ht="15.75" customHeight="1">
      <c r="D550" s="124"/>
    </row>
    <row r="551" ht="15.75" customHeight="1">
      <c r="D551" s="124"/>
    </row>
    <row r="552" ht="15.75" customHeight="1">
      <c r="D552" s="124"/>
    </row>
    <row r="553" ht="15.75" customHeight="1">
      <c r="D553" s="124"/>
    </row>
    <row r="554" ht="15.75" customHeight="1">
      <c r="D554" s="124"/>
    </row>
    <row r="555" ht="15.75" customHeight="1">
      <c r="D555" s="124"/>
    </row>
    <row r="556" ht="15.75" customHeight="1">
      <c r="D556" s="124"/>
    </row>
    <row r="557" ht="15.75" customHeight="1">
      <c r="D557" s="124"/>
    </row>
    <row r="558" ht="15.75" customHeight="1">
      <c r="D558" s="124"/>
    </row>
    <row r="559" ht="15.75" customHeight="1">
      <c r="D559" s="124"/>
    </row>
    <row r="560" ht="15.75" customHeight="1">
      <c r="D560" s="124"/>
    </row>
    <row r="561" ht="15.75" customHeight="1">
      <c r="D561" s="124"/>
    </row>
    <row r="562" ht="15.75" customHeight="1">
      <c r="D562" s="124"/>
    </row>
    <row r="563" ht="15.75" customHeight="1">
      <c r="D563" s="124"/>
    </row>
    <row r="564" ht="15.75" customHeight="1">
      <c r="D564" s="124"/>
    </row>
    <row r="565" ht="15.75" customHeight="1">
      <c r="D565" s="124"/>
    </row>
    <row r="566" ht="15.75" customHeight="1">
      <c r="D566" s="124"/>
    </row>
    <row r="567" ht="15.75" customHeight="1">
      <c r="D567" s="124"/>
    </row>
    <row r="568" ht="15.75" customHeight="1">
      <c r="D568" s="124"/>
    </row>
    <row r="569" ht="15.75" customHeight="1">
      <c r="D569" s="124"/>
    </row>
    <row r="570" ht="15.75" customHeight="1">
      <c r="D570" s="124"/>
    </row>
    <row r="571" ht="15.75" customHeight="1">
      <c r="D571" s="124"/>
    </row>
    <row r="572" ht="15.75" customHeight="1">
      <c r="D572" s="124"/>
    </row>
    <row r="573" ht="15.75" customHeight="1">
      <c r="D573" s="124"/>
    </row>
    <row r="574" ht="15.75" customHeight="1">
      <c r="D574" s="124"/>
    </row>
    <row r="575" ht="15.75" customHeight="1">
      <c r="D575" s="124"/>
    </row>
    <row r="576" ht="15.75" customHeight="1">
      <c r="D576" s="124"/>
    </row>
    <row r="577" ht="15.75" customHeight="1">
      <c r="D577" s="124"/>
    </row>
    <row r="578" ht="15.75" customHeight="1">
      <c r="D578" s="124"/>
    </row>
    <row r="579" ht="15.75" customHeight="1">
      <c r="D579" s="124"/>
    </row>
    <row r="580" ht="15.75" customHeight="1">
      <c r="D580" s="124"/>
    </row>
    <row r="581" ht="15.75" customHeight="1">
      <c r="D581" s="124"/>
    </row>
    <row r="582" ht="15.75" customHeight="1">
      <c r="D582" s="124"/>
    </row>
    <row r="583" ht="15.75" customHeight="1">
      <c r="D583" s="124"/>
    </row>
    <row r="584" ht="15.75" customHeight="1">
      <c r="D584" s="124"/>
    </row>
    <row r="585" ht="15.75" customHeight="1">
      <c r="D585" s="124"/>
    </row>
    <row r="586" ht="15.75" customHeight="1">
      <c r="D586" s="124"/>
    </row>
    <row r="587" ht="15.75" customHeight="1">
      <c r="D587" s="124"/>
    </row>
    <row r="588" ht="15.75" customHeight="1">
      <c r="D588" s="124"/>
    </row>
    <row r="589" ht="15.75" customHeight="1">
      <c r="D589" s="124"/>
    </row>
    <row r="590" ht="15.75" customHeight="1">
      <c r="D590" s="124"/>
    </row>
    <row r="591" ht="15.75" customHeight="1">
      <c r="D591" s="124"/>
    </row>
    <row r="592" ht="15.75" customHeight="1">
      <c r="D592" s="124"/>
    </row>
    <row r="593" ht="15.75" customHeight="1">
      <c r="D593" s="124"/>
    </row>
    <row r="594" ht="15.75" customHeight="1">
      <c r="D594" s="124"/>
    </row>
    <row r="595" ht="15.75" customHeight="1">
      <c r="D595" s="124"/>
    </row>
    <row r="596" ht="15.75" customHeight="1">
      <c r="D596" s="124"/>
    </row>
    <row r="597" ht="15.75" customHeight="1">
      <c r="D597" s="124"/>
    </row>
    <row r="598" ht="15.75" customHeight="1">
      <c r="D598" s="124"/>
    </row>
    <row r="599" ht="15.75" customHeight="1">
      <c r="D599" s="124"/>
    </row>
    <row r="600" ht="15.75" customHeight="1">
      <c r="D600" s="124"/>
    </row>
    <row r="601" ht="15.75" customHeight="1">
      <c r="D601" s="124"/>
    </row>
    <row r="602" ht="15.75" customHeight="1">
      <c r="D602" s="124"/>
    </row>
    <row r="603" ht="15.75" customHeight="1">
      <c r="D603" s="124"/>
    </row>
    <row r="604" ht="15.75" customHeight="1">
      <c r="D604" s="124"/>
    </row>
    <row r="605" ht="15.75" customHeight="1">
      <c r="D605" s="124"/>
    </row>
    <row r="606" ht="15.75" customHeight="1">
      <c r="D606" s="124"/>
    </row>
    <row r="607" ht="15.75" customHeight="1">
      <c r="D607" s="124"/>
    </row>
    <row r="608" ht="15.75" customHeight="1">
      <c r="D608" s="124"/>
    </row>
    <row r="609" ht="15.75" customHeight="1">
      <c r="D609" s="124"/>
    </row>
    <row r="610" ht="15.75" customHeight="1">
      <c r="D610" s="124"/>
    </row>
    <row r="611" ht="15.75" customHeight="1">
      <c r="D611" s="124"/>
    </row>
    <row r="612" ht="15.75" customHeight="1">
      <c r="D612" s="124"/>
    </row>
    <row r="613" ht="15.75" customHeight="1">
      <c r="D613" s="124"/>
    </row>
    <row r="614" ht="15.75" customHeight="1">
      <c r="D614" s="124"/>
    </row>
    <row r="615" ht="15.75" customHeight="1">
      <c r="D615" s="124"/>
    </row>
    <row r="616" ht="15.75" customHeight="1">
      <c r="D616" s="124"/>
    </row>
    <row r="617" ht="15.75" customHeight="1">
      <c r="D617" s="124"/>
    </row>
    <row r="618" ht="15.75" customHeight="1">
      <c r="D618" s="124"/>
    </row>
    <row r="619" ht="15.75" customHeight="1">
      <c r="D619" s="124"/>
    </row>
    <row r="620" ht="15.75" customHeight="1">
      <c r="D620" s="124"/>
    </row>
    <row r="621" ht="15.75" customHeight="1">
      <c r="D621" s="124"/>
    </row>
    <row r="622" ht="15.75" customHeight="1">
      <c r="D622" s="124"/>
    </row>
    <row r="623" ht="15.75" customHeight="1">
      <c r="D623" s="124"/>
    </row>
    <row r="624" ht="15.75" customHeight="1">
      <c r="D624" s="124"/>
    </row>
    <row r="625" ht="15.75" customHeight="1">
      <c r="D625" s="124"/>
    </row>
    <row r="626" ht="15.75" customHeight="1">
      <c r="D626" s="124"/>
    </row>
    <row r="627" ht="15.75" customHeight="1">
      <c r="D627" s="124"/>
    </row>
    <row r="628" ht="15.75" customHeight="1">
      <c r="D628" s="124"/>
    </row>
    <row r="629" ht="15.75" customHeight="1">
      <c r="D629" s="124"/>
    </row>
    <row r="630" ht="15.75" customHeight="1">
      <c r="D630" s="124"/>
    </row>
    <row r="631" ht="15.75" customHeight="1">
      <c r="D631" s="124"/>
    </row>
    <row r="632" ht="15.75" customHeight="1">
      <c r="D632" s="124"/>
    </row>
    <row r="633" ht="15.75" customHeight="1">
      <c r="D633" s="124"/>
    </row>
    <row r="634" ht="15.75" customHeight="1">
      <c r="D634" s="124"/>
    </row>
    <row r="635" ht="15.75" customHeight="1">
      <c r="D635" s="124"/>
    </row>
    <row r="636" ht="15.75" customHeight="1">
      <c r="D636" s="124"/>
    </row>
    <row r="637" ht="15.75" customHeight="1">
      <c r="D637" s="124"/>
    </row>
    <row r="638" ht="15.75" customHeight="1">
      <c r="D638" s="124"/>
    </row>
    <row r="639" ht="15.75" customHeight="1">
      <c r="D639" s="124"/>
    </row>
    <row r="640" ht="15.75" customHeight="1">
      <c r="D640" s="124"/>
    </row>
    <row r="641" ht="15.75" customHeight="1">
      <c r="D641" s="124"/>
    </row>
    <row r="642" ht="15.75" customHeight="1">
      <c r="D642" s="124"/>
    </row>
    <row r="643" ht="15.75" customHeight="1">
      <c r="D643" s="124"/>
    </row>
    <row r="644" ht="15.75" customHeight="1">
      <c r="D644" s="124"/>
    </row>
    <row r="645" ht="15.75" customHeight="1">
      <c r="D645" s="124"/>
    </row>
    <row r="646" ht="15.75" customHeight="1">
      <c r="D646" s="124"/>
    </row>
    <row r="647" ht="15.75" customHeight="1">
      <c r="D647" s="124"/>
    </row>
    <row r="648" ht="15.75" customHeight="1">
      <c r="D648" s="124"/>
    </row>
    <row r="649" ht="15.75" customHeight="1">
      <c r="D649" s="124"/>
    </row>
    <row r="650" ht="15.75" customHeight="1">
      <c r="D650" s="124"/>
    </row>
    <row r="651" ht="15.75" customHeight="1">
      <c r="D651" s="124"/>
    </row>
    <row r="652" ht="15.75" customHeight="1">
      <c r="D652" s="124"/>
    </row>
    <row r="653" ht="15.75" customHeight="1">
      <c r="D653" s="124"/>
    </row>
    <row r="654" ht="15.75" customHeight="1">
      <c r="D654" s="124"/>
    </row>
    <row r="655" ht="15.75" customHeight="1">
      <c r="D655" s="124"/>
    </row>
    <row r="656" ht="15.75" customHeight="1">
      <c r="D656" s="124"/>
    </row>
    <row r="657" ht="15.75" customHeight="1">
      <c r="D657" s="124"/>
    </row>
    <row r="658" ht="15.75" customHeight="1">
      <c r="D658" s="124"/>
    </row>
    <row r="659" ht="15.75" customHeight="1">
      <c r="D659" s="124"/>
    </row>
    <row r="660" ht="15.75" customHeight="1">
      <c r="D660" s="124"/>
    </row>
    <row r="661" ht="15.75" customHeight="1">
      <c r="D661" s="124"/>
    </row>
    <row r="662" ht="15.75" customHeight="1">
      <c r="D662" s="124"/>
    </row>
    <row r="663" ht="15.75" customHeight="1">
      <c r="D663" s="124"/>
    </row>
    <row r="664" ht="15.75" customHeight="1">
      <c r="D664" s="124"/>
    </row>
    <row r="665" ht="15.75" customHeight="1">
      <c r="D665" s="124"/>
    </row>
    <row r="666" ht="15.75" customHeight="1">
      <c r="D666" s="124"/>
    </row>
    <row r="667" ht="15.75" customHeight="1">
      <c r="D667" s="124"/>
    </row>
    <row r="668" ht="15.75" customHeight="1">
      <c r="D668" s="124"/>
    </row>
    <row r="669" ht="15.75" customHeight="1">
      <c r="D669" s="124"/>
    </row>
    <row r="670" ht="15.75" customHeight="1">
      <c r="D670" s="124"/>
    </row>
    <row r="671" ht="15.75" customHeight="1">
      <c r="D671" s="124"/>
    </row>
    <row r="672" ht="15.75" customHeight="1">
      <c r="D672" s="124"/>
    </row>
    <row r="673" ht="15.75" customHeight="1">
      <c r="D673" s="124"/>
    </row>
    <row r="674" ht="15.75" customHeight="1">
      <c r="D674" s="124"/>
    </row>
    <row r="675" ht="15.75" customHeight="1">
      <c r="D675" s="124"/>
    </row>
    <row r="676" ht="15.75" customHeight="1">
      <c r="D676" s="124"/>
    </row>
    <row r="677" ht="15.75" customHeight="1">
      <c r="D677" s="124"/>
    </row>
    <row r="678" ht="15.75" customHeight="1">
      <c r="D678" s="124"/>
    </row>
    <row r="679" ht="15.75" customHeight="1">
      <c r="D679" s="124"/>
    </row>
    <row r="680" ht="15.75" customHeight="1">
      <c r="D680" s="124"/>
    </row>
    <row r="681" ht="15.75" customHeight="1">
      <c r="D681" s="124"/>
    </row>
    <row r="682" ht="15.75" customHeight="1">
      <c r="D682" s="124"/>
    </row>
    <row r="683" ht="15.75" customHeight="1">
      <c r="D683" s="124"/>
    </row>
    <row r="684" ht="15.75" customHeight="1">
      <c r="D684" s="124"/>
    </row>
    <row r="685" ht="15.75" customHeight="1">
      <c r="D685" s="124"/>
    </row>
    <row r="686" ht="15.75" customHeight="1">
      <c r="D686" s="124"/>
    </row>
    <row r="687" ht="15.75" customHeight="1">
      <c r="D687" s="124"/>
    </row>
    <row r="688" ht="15.75" customHeight="1">
      <c r="D688" s="124"/>
    </row>
    <row r="689" ht="15.75" customHeight="1">
      <c r="D689" s="124"/>
    </row>
    <row r="690" ht="15.75" customHeight="1">
      <c r="D690" s="124"/>
    </row>
    <row r="691" ht="15.75" customHeight="1">
      <c r="D691" s="124"/>
    </row>
    <row r="692" ht="15.75" customHeight="1">
      <c r="D692" s="124"/>
    </row>
    <row r="693" ht="15.75" customHeight="1">
      <c r="D693" s="124"/>
    </row>
    <row r="694" ht="15.75" customHeight="1">
      <c r="D694" s="124"/>
    </row>
    <row r="695" ht="15.75" customHeight="1">
      <c r="D695" s="124"/>
    </row>
    <row r="696" ht="15.75" customHeight="1">
      <c r="D696" s="124"/>
    </row>
    <row r="697" ht="15.75" customHeight="1">
      <c r="D697" s="124"/>
    </row>
    <row r="698" ht="15.75" customHeight="1">
      <c r="D698" s="124"/>
    </row>
    <row r="699" ht="15.75" customHeight="1">
      <c r="D699" s="124"/>
    </row>
    <row r="700" ht="15.75" customHeight="1">
      <c r="D700" s="124"/>
    </row>
    <row r="701" ht="15.75" customHeight="1">
      <c r="D701" s="124"/>
    </row>
    <row r="702" ht="15.75" customHeight="1">
      <c r="D702" s="124"/>
    </row>
    <row r="703" ht="15.75" customHeight="1">
      <c r="D703" s="124"/>
    </row>
    <row r="704" ht="15.75" customHeight="1">
      <c r="D704" s="124"/>
    </row>
    <row r="705" ht="15.75" customHeight="1">
      <c r="D705" s="124"/>
    </row>
    <row r="706" ht="15.75" customHeight="1">
      <c r="D706" s="124"/>
    </row>
    <row r="707" ht="15.75" customHeight="1">
      <c r="D707" s="124"/>
    </row>
    <row r="708" ht="15.75" customHeight="1">
      <c r="D708" s="124"/>
    </row>
    <row r="709" ht="15.75" customHeight="1">
      <c r="D709" s="124"/>
    </row>
    <row r="710" ht="15.75" customHeight="1">
      <c r="D710" s="124"/>
    </row>
    <row r="711" ht="15.75" customHeight="1">
      <c r="D711" s="124"/>
    </row>
    <row r="712" ht="15.75" customHeight="1">
      <c r="D712" s="124"/>
    </row>
    <row r="713" ht="15.75" customHeight="1">
      <c r="D713" s="124"/>
    </row>
    <row r="714" ht="15.75" customHeight="1">
      <c r="D714" s="124"/>
    </row>
    <row r="715" ht="15.75" customHeight="1">
      <c r="D715" s="124"/>
    </row>
    <row r="716" ht="15.75" customHeight="1">
      <c r="D716" s="124"/>
    </row>
    <row r="717" ht="15.75" customHeight="1">
      <c r="D717" s="124"/>
    </row>
    <row r="718" ht="15.75" customHeight="1">
      <c r="D718" s="124"/>
    </row>
    <row r="719" ht="15.75" customHeight="1">
      <c r="D719" s="124"/>
    </row>
    <row r="720" ht="15.75" customHeight="1">
      <c r="D720" s="124"/>
    </row>
    <row r="721" ht="15.75" customHeight="1">
      <c r="D721" s="124"/>
    </row>
    <row r="722" ht="15.75" customHeight="1">
      <c r="D722" s="124"/>
    </row>
    <row r="723" ht="15.75" customHeight="1">
      <c r="D723" s="124"/>
    </row>
    <row r="724" ht="15.75" customHeight="1">
      <c r="D724" s="124"/>
    </row>
    <row r="725" ht="15.75" customHeight="1">
      <c r="D725" s="124"/>
    </row>
    <row r="726" ht="15.75" customHeight="1">
      <c r="D726" s="124"/>
    </row>
    <row r="727" ht="15.75" customHeight="1">
      <c r="D727" s="124"/>
    </row>
    <row r="728" ht="15.75" customHeight="1">
      <c r="D728" s="124"/>
    </row>
    <row r="729" ht="15.75" customHeight="1">
      <c r="D729" s="124"/>
    </row>
    <row r="730" ht="15.75" customHeight="1">
      <c r="D730" s="124"/>
    </row>
    <row r="731" ht="15.75" customHeight="1">
      <c r="D731" s="124"/>
    </row>
    <row r="732" ht="15.75" customHeight="1">
      <c r="D732" s="124"/>
    </row>
    <row r="733" ht="15.75" customHeight="1">
      <c r="D733" s="124"/>
    </row>
    <row r="734" ht="15.75" customHeight="1">
      <c r="D734" s="124"/>
    </row>
    <row r="735" ht="15.75" customHeight="1">
      <c r="D735" s="124"/>
    </row>
    <row r="736" ht="15.75" customHeight="1">
      <c r="D736" s="124"/>
    </row>
    <row r="737" ht="15.75" customHeight="1">
      <c r="D737" s="124"/>
    </row>
    <row r="738" ht="15.75" customHeight="1">
      <c r="D738" s="124"/>
    </row>
    <row r="739" ht="15.75" customHeight="1">
      <c r="D739" s="124"/>
    </row>
    <row r="740" ht="15.75" customHeight="1">
      <c r="D740" s="124"/>
    </row>
    <row r="741" ht="15.75" customHeight="1">
      <c r="D741" s="124"/>
    </row>
    <row r="742" ht="15.75" customHeight="1">
      <c r="D742" s="124"/>
    </row>
    <row r="743" ht="15.75" customHeight="1">
      <c r="D743" s="124"/>
    </row>
    <row r="744" ht="15.75" customHeight="1">
      <c r="D744" s="124"/>
    </row>
    <row r="745" ht="15.75" customHeight="1">
      <c r="D745" s="124"/>
    </row>
    <row r="746" ht="15.75" customHeight="1">
      <c r="D746" s="124"/>
    </row>
    <row r="747" ht="15.75" customHeight="1">
      <c r="D747" s="124"/>
    </row>
    <row r="748" ht="15.75" customHeight="1">
      <c r="D748" s="124"/>
    </row>
    <row r="749" ht="15.75" customHeight="1">
      <c r="D749" s="124"/>
    </row>
    <row r="750" ht="15.75" customHeight="1">
      <c r="D750" s="124"/>
    </row>
    <row r="751" ht="15.75" customHeight="1">
      <c r="D751" s="124"/>
    </row>
    <row r="752" ht="15.75" customHeight="1">
      <c r="D752" s="124"/>
    </row>
    <row r="753" ht="15.75" customHeight="1">
      <c r="D753" s="124"/>
    </row>
    <row r="754" ht="15.75" customHeight="1">
      <c r="D754" s="124"/>
    </row>
    <row r="755" ht="15.75" customHeight="1">
      <c r="D755" s="124"/>
    </row>
    <row r="756" ht="15.75" customHeight="1">
      <c r="D756" s="124"/>
    </row>
    <row r="757" ht="15.75" customHeight="1">
      <c r="D757" s="124"/>
    </row>
    <row r="758" ht="15.75" customHeight="1">
      <c r="D758" s="124"/>
    </row>
    <row r="759" ht="15.75" customHeight="1">
      <c r="D759" s="124"/>
    </row>
    <row r="760" ht="15.75" customHeight="1">
      <c r="D760" s="124"/>
    </row>
    <row r="761" ht="15.75" customHeight="1">
      <c r="D761" s="124"/>
    </row>
    <row r="762" ht="15.75" customHeight="1">
      <c r="D762" s="124"/>
    </row>
    <row r="763" ht="15.75" customHeight="1">
      <c r="D763" s="124"/>
    </row>
    <row r="764" ht="15.75" customHeight="1">
      <c r="D764" s="124"/>
    </row>
    <row r="765" ht="15.75" customHeight="1">
      <c r="D765" s="124"/>
    </row>
    <row r="766" ht="15.75" customHeight="1">
      <c r="D766" s="124"/>
    </row>
    <row r="767" ht="15.75" customHeight="1">
      <c r="D767" s="124"/>
    </row>
    <row r="768" ht="15.75" customHeight="1">
      <c r="D768" s="124"/>
    </row>
    <row r="769" ht="15.75" customHeight="1">
      <c r="D769" s="124"/>
    </row>
    <row r="770" ht="15.75" customHeight="1">
      <c r="D770" s="124"/>
    </row>
    <row r="771" ht="15.75" customHeight="1">
      <c r="D771" s="124"/>
    </row>
    <row r="772" ht="15.75" customHeight="1">
      <c r="D772" s="124"/>
    </row>
    <row r="773" ht="15.75" customHeight="1">
      <c r="D773" s="124"/>
    </row>
    <row r="774" ht="15.75" customHeight="1">
      <c r="D774" s="124"/>
    </row>
    <row r="775" ht="15.75" customHeight="1">
      <c r="D775" s="124"/>
    </row>
    <row r="776" ht="15.75" customHeight="1">
      <c r="D776" s="124"/>
    </row>
    <row r="777" ht="15.75" customHeight="1">
      <c r="D777" s="124"/>
    </row>
    <row r="778" ht="15.75" customHeight="1">
      <c r="D778" s="124"/>
    </row>
    <row r="779" ht="15.75" customHeight="1">
      <c r="D779" s="124"/>
    </row>
    <row r="780" ht="15.75" customHeight="1">
      <c r="D780" s="124"/>
    </row>
    <row r="781" ht="15.75" customHeight="1">
      <c r="D781" s="124"/>
    </row>
    <row r="782" ht="15.75" customHeight="1">
      <c r="D782" s="124"/>
    </row>
    <row r="783" ht="15.75" customHeight="1">
      <c r="D783" s="124"/>
    </row>
    <row r="784" ht="15.75" customHeight="1">
      <c r="D784" s="124"/>
    </row>
    <row r="785" ht="15.75" customHeight="1">
      <c r="D785" s="124"/>
    </row>
    <row r="786" ht="15.75" customHeight="1">
      <c r="D786" s="124"/>
    </row>
    <row r="787" ht="15.75" customHeight="1">
      <c r="D787" s="124"/>
    </row>
    <row r="788" ht="15.75" customHeight="1">
      <c r="D788" s="124"/>
    </row>
    <row r="789" ht="15.75" customHeight="1">
      <c r="D789" s="124"/>
    </row>
    <row r="790" ht="15.75" customHeight="1">
      <c r="D790" s="124"/>
    </row>
    <row r="791" ht="15.75" customHeight="1">
      <c r="D791" s="124"/>
    </row>
    <row r="792" ht="15.75" customHeight="1">
      <c r="D792" s="124"/>
    </row>
    <row r="793" ht="15.75" customHeight="1">
      <c r="D793" s="124"/>
    </row>
    <row r="794" ht="15.75" customHeight="1">
      <c r="D794" s="124"/>
    </row>
    <row r="795" ht="15.75" customHeight="1">
      <c r="D795" s="124"/>
    </row>
    <row r="796" ht="15.75" customHeight="1">
      <c r="D796" s="124"/>
    </row>
    <row r="797" ht="15.75" customHeight="1">
      <c r="D797" s="124"/>
    </row>
    <row r="798" ht="15.75" customHeight="1">
      <c r="D798" s="124"/>
    </row>
    <row r="799" ht="15.75" customHeight="1">
      <c r="D799" s="124"/>
    </row>
    <row r="800" ht="15.75" customHeight="1">
      <c r="D800" s="124"/>
    </row>
    <row r="801" ht="15.75" customHeight="1">
      <c r="D801" s="124"/>
    </row>
    <row r="802" ht="15.75" customHeight="1">
      <c r="D802" s="124"/>
    </row>
    <row r="803" ht="15.75" customHeight="1">
      <c r="D803" s="124"/>
    </row>
    <row r="804" ht="15.75" customHeight="1">
      <c r="D804" s="124"/>
    </row>
    <row r="805" ht="15.75" customHeight="1">
      <c r="D805" s="124"/>
    </row>
    <row r="806" ht="15.75" customHeight="1">
      <c r="D806" s="124"/>
    </row>
    <row r="807" ht="15.75" customHeight="1">
      <c r="D807" s="124"/>
    </row>
    <row r="808" ht="15.75" customHeight="1">
      <c r="D808" s="124"/>
    </row>
    <row r="809" ht="15.75" customHeight="1">
      <c r="D809" s="124"/>
    </row>
    <row r="810" ht="15.75" customHeight="1">
      <c r="D810" s="124"/>
    </row>
    <row r="811" ht="15.75" customHeight="1">
      <c r="D811" s="124"/>
    </row>
    <row r="812" ht="15.75" customHeight="1">
      <c r="D812" s="124"/>
    </row>
    <row r="813" ht="15.75" customHeight="1">
      <c r="D813" s="124"/>
    </row>
    <row r="814" ht="15.75" customHeight="1">
      <c r="D814" s="124"/>
    </row>
    <row r="815" ht="15.75" customHeight="1">
      <c r="D815" s="124"/>
    </row>
    <row r="816" ht="15.75" customHeight="1">
      <c r="D816" s="124"/>
    </row>
    <row r="817" ht="15.75" customHeight="1">
      <c r="D817" s="124"/>
    </row>
    <row r="818" ht="15.75" customHeight="1">
      <c r="D818" s="124"/>
    </row>
    <row r="819" ht="15.75" customHeight="1">
      <c r="D819" s="124"/>
    </row>
    <row r="820" ht="15.75" customHeight="1">
      <c r="D820" s="124"/>
    </row>
    <row r="821" ht="15.75" customHeight="1">
      <c r="D821" s="124"/>
    </row>
    <row r="822" ht="15.75" customHeight="1">
      <c r="D822" s="124"/>
    </row>
    <row r="823" ht="15.75" customHeight="1">
      <c r="D823" s="124"/>
    </row>
    <row r="824" ht="15.75" customHeight="1">
      <c r="D824" s="124"/>
    </row>
    <row r="825" ht="15.75" customHeight="1">
      <c r="D825" s="124"/>
    </row>
    <row r="826" ht="15.75" customHeight="1">
      <c r="D826" s="124"/>
    </row>
    <row r="827" ht="15.75" customHeight="1">
      <c r="D827" s="124"/>
    </row>
    <row r="828" ht="15.75" customHeight="1">
      <c r="D828" s="124"/>
    </row>
    <row r="829" ht="15.75" customHeight="1">
      <c r="D829" s="124"/>
    </row>
    <row r="830" ht="15.75" customHeight="1">
      <c r="D830" s="124"/>
    </row>
    <row r="831" ht="15.75" customHeight="1">
      <c r="D831" s="124"/>
    </row>
    <row r="832" ht="15.75" customHeight="1">
      <c r="D832" s="124"/>
    </row>
    <row r="833" ht="15.75" customHeight="1">
      <c r="D833" s="124"/>
    </row>
    <row r="834" ht="15.75" customHeight="1">
      <c r="D834" s="124"/>
    </row>
    <row r="835" ht="15.75" customHeight="1">
      <c r="D835" s="124"/>
    </row>
    <row r="836" ht="15.75" customHeight="1">
      <c r="D836" s="124"/>
    </row>
    <row r="837" ht="15.75" customHeight="1">
      <c r="D837" s="124"/>
    </row>
    <row r="838" ht="15.75" customHeight="1">
      <c r="D838" s="124"/>
    </row>
    <row r="839" ht="15.75" customHeight="1">
      <c r="D839" s="124"/>
    </row>
    <row r="840" ht="15.75" customHeight="1">
      <c r="D840" s="124"/>
    </row>
    <row r="841" ht="15.75" customHeight="1">
      <c r="D841" s="124"/>
    </row>
    <row r="842" ht="15.75" customHeight="1">
      <c r="D842" s="124"/>
    </row>
    <row r="843" ht="15.75" customHeight="1">
      <c r="D843" s="124"/>
    </row>
    <row r="844" ht="15.75" customHeight="1">
      <c r="D844" s="124"/>
    </row>
    <row r="845" ht="15.75" customHeight="1">
      <c r="D845" s="124"/>
    </row>
    <row r="846" ht="15.75" customHeight="1">
      <c r="D846" s="124"/>
    </row>
    <row r="847" ht="15.75" customHeight="1">
      <c r="D847" s="124"/>
    </row>
    <row r="848" ht="15.75" customHeight="1">
      <c r="D848" s="124"/>
    </row>
    <row r="849" ht="15.75" customHeight="1">
      <c r="D849" s="124"/>
    </row>
    <row r="850" ht="15.75" customHeight="1">
      <c r="D850" s="124"/>
    </row>
    <row r="851" ht="15.75" customHeight="1">
      <c r="D851" s="124"/>
    </row>
    <row r="852" ht="15.75" customHeight="1">
      <c r="D852" s="124"/>
    </row>
    <row r="853" ht="15.75" customHeight="1">
      <c r="D853" s="124"/>
    </row>
    <row r="854" ht="15.75" customHeight="1">
      <c r="D854" s="124"/>
    </row>
    <row r="855" ht="15.75" customHeight="1">
      <c r="D855" s="124"/>
    </row>
    <row r="856" ht="15.75" customHeight="1">
      <c r="D856" s="124"/>
    </row>
    <row r="857" ht="15.75" customHeight="1">
      <c r="D857" s="124"/>
    </row>
    <row r="858" ht="15.75" customHeight="1">
      <c r="D858" s="124"/>
    </row>
    <row r="859" ht="15.75" customHeight="1">
      <c r="D859" s="124"/>
    </row>
    <row r="860" ht="15.75" customHeight="1">
      <c r="D860" s="124"/>
    </row>
    <row r="861" ht="15.75" customHeight="1">
      <c r="D861" s="124"/>
    </row>
    <row r="862" ht="15.75" customHeight="1">
      <c r="D862" s="124"/>
    </row>
    <row r="863" ht="15.75" customHeight="1">
      <c r="D863" s="124"/>
    </row>
    <row r="864" ht="15.75" customHeight="1">
      <c r="D864" s="124"/>
    </row>
    <row r="865" ht="15.75" customHeight="1">
      <c r="D865" s="124"/>
    </row>
    <row r="866" ht="15.75" customHeight="1">
      <c r="D866" s="124"/>
    </row>
    <row r="867" ht="15.75" customHeight="1">
      <c r="D867" s="124"/>
    </row>
    <row r="868" ht="15.75" customHeight="1">
      <c r="D868" s="124"/>
    </row>
    <row r="869" ht="15.75" customHeight="1">
      <c r="D869" s="124"/>
    </row>
    <row r="870" ht="15.75" customHeight="1">
      <c r="D870" s="124"/>
    </row>
    <row r="871" ht="15.75" customHeight="1">
      <c r="D871" s="124"/>
    </row>
    <row r="872" ht="15.75" customHeight="1">
      <c r="D872" s="124"/>
    </row>
    <row r="873" ht="15.75" customHeight="1">
      <c r="D873" s="124"/>
    </row>
    <row r="874" ht="15.75" customHeight="1">
      <c r="D874" s="124"/>
    </row>
    <row r="875" ht="15.75" customHeight="1">
      <c r="D875" s="124"/>
    </row>
    <row r="876" ht="15.75" customHeight="1">
      <c r="D876" s="124"/>
    </row>
    <row r="877" ht="15.75" customHeight="1">
      <c r="D877" s="124"/>
    </row>
    <row r="878" ht="15.75" customHeight="1">
      <c r="D878" s="124"/>
    </row>
    <row r="879" ht="15.75" customHeight="1">
      <c r="D879" s="124"/>
    </row>
    <row r="880" ht="15.75" customHeight="1">
      <c r="D880" s="124"/>
    </row>
    <row r="881" ht="15.75" customHeight="1">
      <c r="D881" s="124"/>
    </row>
    <row r="882" ht="15.75" customHeight="1">
      <c r="D882" s="124"/>
    </row>
    <row r="883" ht="15.75" customHeight="1">
      <c r="D883" s="124"/>
    </row>
    <row r="884" ht="15.75" customHeight="1">
      <c r="D884" s="124"/>
    </row>
    <row r="885" ht="15.75" customHeight="1">
      <c r="D885" s="124"/>
    </row>
    <row r="886" ht="15.75" customHeight="1">
      <c r="D886" s="124"/>
    </row>
    <row r="887" ht="15.75" customHeight="1">
      <c r="D887" s="124"/>
    </row>
    <row r="888" ht="15.75" customHeight="1">
      <c r="D888" s="124"/>
    </row>
    <row r="889" ht="15.75" customHeight="1">
      <c r="D889" s="124"/>
    </row>
    <row r="890" ht="15.75" customHeight="1">
      <c r="D890" s="124"/>
    </row>
    <row r="891" ht="15.75" customHeight="1">
      <c r="D891" s="124"/>
    </row>
    <row r="892" ht="15.75" customHeight="1">
      <c r="D892" s="124"/>
    </row>
    <row r="893" ht="15.75" customHeight="1">
      <c r="D893" s="124"/>
    </row>
    <row r="894" ht="15.75" customHeight="1">
      <c r="D894" s="124"/>
    </row>
    <row r="895" ht="15.75" customHeight="1">
      <c r="D895" s="124"/>
    </row>
    <row r="896" ht="15.75" customHeight="1">
      <c r="D896" s="124"/>
    </row>
    <row r="897" ht="15.75" customHeight="1">
      <c r="D897" s="124"/>
    </row>
    <row r="898" ht="15.75" customHeight="1">
      <c r="D898" s="124"/>
    </row>
    <row r="899" ht="15.75" customHeight="1">
      <c r="D899" s="124"/>
    </row>
    <row r="900" ht="15.75" customHeight="1">
      <c r="D900" s="124"/>
    </row>
    <row r="901" ht="15.75" customHeight="1">
      <c r="D901" s="124"/>
    </row>
    <row r="902" ht="15.75" customHeight="1">
      <c r="D902" s="124"/>
    </row>
    <row r="903" ht="15.75" customHeight="1">
      <c r="D903" s="124"/>
    </row>
    <row r="904" ht="15.75" customHeight="1">
      <c r="D904" s="124"/>
    </row>
    <row r="905" ht="15.75" customHeight="1">
      <c r="D905" s="124"/>
    </row>
    <row r="906" ht="15.75" customHeight="1">
      <c r="D906" s="124"/>
    </row>
    <row r="907" ht="15.75" customHeight="1">
      <c r="D907" s="124"/>
    </row>
    <row r="908" ht="15.75" customHeight="1">
      <c r="D908" s="124"/>
    </row>
    <row r="909" ht="15.75" customHeight="1">
      <c r="D909" s="124"/>
    </row>
    <row r="910" ht="15.75" customHeight="1">
      <c r="D910" s="124"/>
    </row>
    <row r="911" ht="15.75" customHeight="1">
      <c r="D911" s="124"/>
    </row>
    <row r="912" ht="15.75" customHeight="1">
      <c r="D912" s="124"/>
    </row>
    <row r="913" ht="15.75" customHeight="1">
      <c r="D913" s="124"/>
    </row>
    <row r="914" ht="15.75" customHeight="1">
      <c r="D914" s="124"/>
    </row>
    <row r="915" ht="15.75" customHeight="1">
      <c r="D915" s="124"/>
    </row>
    <row r="916" ht="15.75" customHeight="1">
      <c r="D916" s="124"/>
    </row>
    <row r="917" ht="15.75" customHeight="1">
      <c r="D917" s="124"/>
    </row>
    <row r="918" ht="15.75" customHeight="1">
      <c r="D918" s="124"/>
    </row>
    <row r="919" ht="15.75" customHeight="1">
      <c r="D919" s="124"/>
    </row>
    <row r="920" ht="15.75" customHeight="1">
      <c r="D920" s="124"/>
    </row>
    <row r="921" ht="15.75" customHeight="1">
      <c r="D921" s="124"/>
    </row>
    <row r="922" ht="15.75" customHeight="1">
      <c r="D922" s="124"/>
    </row>
    <row r="923" ht="15.75" customHeight="1">
      <c r="D923" s="124"/>
    </row>
    <row r="924" ht="15.75" customHeight="1">
      <c r="D924" s="124"/>
    </row>
    <row r="925" ht="15.75" customHeight="1">
      <c r="D925" s="124"/>
    </row>
    <row r="926" ht="15.75" customHeight="1">
      <c r="D926" s="124"/>
    </row>
    <row r="927" ht="15.75" customHeight="1">
      <c r="D927" s="124"/>
    </row>
    <row r="928" ht="15.75" customHeight="1">
      <c r="D928" s="124"/>
    </row>
    <row r="929" ht="15.75" customHeight="1">
      <c r="D929" s="124"/>
    </row>
    <row r="930" ht="15.75" customHeight="1">
      <c r="D930" s="124"/>
    </row>
    <row r="931" ht="15.75" customHeight="1">
      <c r="D931" s="124"/>
    </row>
    <row r="932" ht="15.75" customHeight="1">
      <c r="D932" s="124"/>
    </row>
    <row r="933" ht="15.75" customHeight="1">
      <c r="D933" s="124"/>
    </row>
    <row r="934" ht="15.75" customHeight="1">
      <c r="D934" s="124"/>
    </row>
    <row r="935" ht="15.75" customHeight="1">
      <c r="D935" s="124"/>
    </row>
    <row r="936" ht="15.75" customHeight="1">
      <c r="D936" s="124"/>
    </row>
    <row r="937" ht="15.75" customHeight="1">
      <c r="D937" s="124"/>
    </row>
    <row r="938" ht="15.75" customHeight="1">
      <c r="D938" s="124"/>
    </row>
    <row r="939" ht="15.75" customHeight="1">
      <c r="D939" s="124"/>
    </row>
    <row r="940" ht="15.75" customHeight="1">
      <c r="D940" s="124"/>
    </row>
    <row r="941" ht="15.75" customHeight="1">
      <c r="D941" s="124"/>
    </row>
    <row r="942" ht="15.75" customHeight="1">
      <c r="D942" s="124"/>
    </row>
    <row r="943" ht="15.75" customHeight="1">
      <c r="D943" s="124"/>
    </row>
    <row r="944" ht="15.75" customHeight="1">
      <c r="D944" s="124"/>
    </row>
    <row r="945" ht="15.75" customHeight="1">
      <c r="D945" s="124"/>
    </row>
    <row r="946" ht="15.75" customHeight="1">
      <c r="D946" s="124"/>
    </row>
    <row r="947" ht="15.75" customHeight="1">
      <c r="D947" s="124"/>
    </row>
    <row r="948" ht="15.75" customHeight="1">
      <c r="D948" s="124"/>
    </row>
    <row r="949" ht="15.75" customHeight="1">
      <c r="D949" s="124"/>
    </row>
    <row r="950" ht="15.75" customHeight="1">
      <c r="D950" s="124"/>
    </row>
    <row r="951" ht="15.75" customHeight="1">
      <c r="D951" s="124"/>
    </row>
    <row r="952" ht="15.75" customHeight="1">
      <c r="D952" s="124"/>
    </row>
    <row r="953" ht="15.75" customHeight="1">
      <c r="D953" s="124"/>
    </row>
    <row r="954" ht="15.75" customHeight="1">
      <c r="D954" s="124"/>
    </row>
    <row r="955" ht="15.75" customHeight="1">
      <c r="D955" s="124"/>
    </row>
    <row r="956" ht="15.75" customHeight="1">
      <c r="D956" s="124"/>
    </row>
    <row r="957" ht="15.75" customHeight="1">
      <c r="D957" s="124"/>
    </row>
    <row r="958" ht="15.75" customHeight="1">
      <c r="D958" s="124"/>
    </row>
    <row r="959" ht="15.75" customHeight="1">
      <c r="D959" s="124"/>
    </row>
    <row r="960" ht="15.75" customHeight="1">
      <c r="D960" s="124"/>
    </row>
    <row r="961" ht="15.75" customHeight="1">
      <c r="D961" s="124"/>
    </row>
    <row r="962" ht="15.75" customHeight="1">
      <c r="D962" s="124"/>
    </row>
    <row r="963" ht="15.75" customHeight="1">
      <c r="D963" s="124"/>
    </row>
    <row r="964" ht="15.75" customHeight="1">
      <c r="D964" s="124"/>
    </row>
    <row r="965" ht="15.75" customHeight="1">
      <c r="D965" s="124"/>
    </row>
    <row r="966" ht="15.75" customHeight="1">
      <c r="D966" s="124"/>
    </row>
    <row r="967" ht="15.75" customHeight="1">
      <c r="D967" s="124"/>
    </row>
    <row r="968" ht="15.75" customHeight="1">
      <c r="D968" s="124"/>
    </row>
    <row r="969" ht="15.75" customHeight="1">
      <c r="D969" s="124"/>
    </row>
    <row r="970" ht="15.75" customHeight="1">
      <c r="D970" s="124"/>
    </row>
    <row r="971" ht="15.75" customHeight="1">
      <c r="D971" s="124"/>
    </row>
    <row r="972" ht="15.75" customHeight="1">
      <c r="D972" s="124"/>
    </row>
    <row r="973" ht="15.75" customHeight="1">
      <c r="D973" s="124"/>
    </row>
    <row r="974" ht="15.75" customHeight="1">
      <c r="D974" s="124"/>
    </row>
    <row r="975" ht="15.75" customHeight="1">
      <c r="D975" s="124"/>
    </row>
    <row r="976" ht="15.75" customHeight="1">
      <c r="D976" s="124"/>
    </row>
    <row r="977" ht="15.75" customHeight="1">
      <c r="D977" s="124"/>
    </row>
    <row r="978" ht="15.75" customHeight="1">
      <c r="D978" s="124"/>
    </row>
    <row r="979" ht="15.75" customHeight="1">
      <c r="D979" s="124"/>
    </row>
    <row r="980" ht="15.75" customHeight="1">
      <c r="D980" s="124"/>
    </row>
    <row r="981" ht="15.75" customHeight="1">
      <c r="D981" s="124"/>
    </row>
    <row r="982" ht="15.75" customHeight="1">
      <c r="D982" s="124"/>
    </row>
    <row r="983" ht="15.75" customHeight="1">
      <c r="D983" s="124"/>
    </row>
    <row r="984" ht="15.75" customHeight="1">
      <c r="D984" s="124"/>
    </row>
    <row r="985" ht="15.75" customHeight="1">
      <c r="D985" s="124"/>
    </row>
    <row r="986" ht="15.75" customHeight="1">
      <c r="D986" s="124"/>
    </row>
    <row r="987" ht="15.75" customHeight="1">
      <c r="D987" s="124"/>
    </row>
    <row r="988" ht="15.75" customHeight="1">
      <c r="D988" s="124"/>
    </row>
    <row r="989" ht="15.75" customHeight="1">
      <c r="D989" s="124"/>
    </row>
    <row r="990" ht="15.75" customHeight="1">
      <c r="D990" s="124"/>
    </row>
    <row r="991" ht="15.75" customHeight="1">
      <c r="D991" s="124"/>
    </row>
    <row r="992" ht="15.75" customHeight="1">
      <c r="D992" s="124"/>
    </row>
    <row r="993" ht="15.75" customHeight="1">
      <c r="D993" s="124"/>
    </row>
    <row r="994" ht="15.75" customHeight="1">
      <c r="D994" s="124"/>
    </row>
    <row r="995" ht="15.75" customHeight="1">
      <c r="D995" s="124"/>
    </row>
    <row r="996" ht="15.75" customHeight="1">
      <c r="D996" s="124"/>
    </row>
    <row r="997" ht="15.75" customHeight="1">
      <c r="D997" s="124"/>
    </row>
    <row r="998" ht="15.75" customHeight="1">
      <c r="D998" s="124"/>
    </row>
    <row r="999" ht="15.75" customHeight="1">
      <c r="D999" s="124"/>
    </row>
    <row r="1000" ht="15.75" customHeight="1">
      <c r="D1000" s="124"/>
    </row>
  </sheetData>
  <mergeCells count="138">
    <mergeCell ref="C61:C62"/>
    <mergeCell ref="C63:C64"/>
    <mergeCell ref="C65:C66"/>
    <mergeCell ref="C67:C68"/>
    <mergeCell ref="C69:C70"/>
    <mergeCell ref="C71:C72"/>
    <mergeCell ref="C73:C74"/>
    <mergeCell ref="C109:C110"/>
    <mergeCell ref="C117:C118"/>
    <mergeCell ref="C119:C120"/>
    <mergeCell ref="C121:C122"/>
    <mergeCell ref="C75:C76"/>
    <mergeCell ref="C77:C78"/>
    <mergeCell ref="C99:C100"/>
    <mergeCell ref="C101:C102"/>
    <mergeCell ref="C103:C104"/>
    <mergeCell ref="C105:C106"/>
    <mergeCell ref="C107:C108"/>
    <mergeCell ref="B1:G1"/>
    <mergeCell ref="B3:B8"/>
    <mergeCell ref="C3:C4"/>
    <mergeCell ref="C5:C6"/>
    <mergeCell ref="C7:C8"/>
    <mergeCell ref="B9:B14"/>
    <mergeCell ref="C9:C10"/>
    <mergeCell ref="C21:C22"/>
    <mergeCell ref="C23:C24"/>
    <mergeCell ref="C11:C12"/>
    <mergeCell ref="C13:C14"/>
    <mergeCell ref="B15:B20"/>
    <mergeCell ref="C15:C16"/>
    <mergeCell ref="C17:C18"/>
    <mergeCell ref="C19:C20"/>
    <mergeCell ref="C25:C26"/>
    <mergeCell ref="C27:C28"/>
    <mergeCell ref="C29:C30"/>
    <mergeCell ref="C31:C32"/>
    <mergeCell ref="C39:C40"/>
    <mergeCell ref="C41:C42"/>
    <mergeCell ref="C43:C44"/>
    <mergeCell ref="C45:C46"/>
    <mergeCell ref="B21:B26"/>
    <mergeCell ref="B27:B32"/>
    <mergeCell ref="B33:B35"/>
    <mergeCell ref="B36:B38"/>
    <mergeCell ref="B39:B44"/>
    <mergeCell ref="B45:B50"/>
    <mergeCell ref="B51:B56"/>
    <mergeCell ref="C79:C80"/>
    <mergeCell ref="C84:C85"/>
    <mergeCell ref="C86:C87"/>
    <mergeCell ref="C88:C89"/>
    <mergeCell ref="C47:C48"/>
    <mergeCell ref="C49:C50"/>
    <mergeCell ref="C51:C52"/>
    <mergeCell ref="C53:C54"/>
    <mergeCell ref="C55:C56"/>
    <mergeCell ref="C57:C58"/>
    <mergeCell ref="C59:C60"/>
    <mergeCell ref="C166:D166"/>
    <mergeCell ref="C168:D168"/>
    <mergeCell ref="C157:D157"/>
    <mergeCell ref="C158:D158"/>
    <mergeCell ref="C160:D160"/>
    <mergeCell ref="C161:D161"/>
    <mergeCell ref="C162:D162"/>
    <mergeCell ref="C164:D164"/>
    <mergeCell ref="C165:D165"/>
    <mergeCell ref="B164:B166"/>
    <mergeCell ref="B168:B170"/>
    <mergeCell ref="C169:D169"/>
    <mergeCell ref="C170:D170"/>
    <mergeCell ref="C172:D172"/>
    <mergeCell ref="C173:D173"/>
    <mergeCell ref="C174:D174"/>
    <mergeCell ref="C184:D184"/>
    <mergeCell ref="C185:D185"/>
    <mergeCell ref="B184:B186"/>
    <mergeCell ref="B188:B190"/>
    <mergeCell ref="B192:B194"/>
    <mergeCell ref="C188:D188"/>
    <mergeCell ref="C189:D189"/>
    <mergeCell ref="C190:D190"/>
    <mergeCell ref="C192:D192"/>
    <mergeCell ref="C193:D193"/>
    <mergeCell ref="C194:D194"/>
    <mergeCell ref="C176:D176"/>
    <mergeCell ref="C177:D177"/>
    <mergeCell ref="B180:B182"/>
    <mergeCell ref="C180:D180"/>
    <mergeCell ref="C181:D181"/>
    <mergeCell ref="C182:D182"/>
    <mergeCell ref="C186:D186"/>
    <mergeCell ref="B57:B62"/>
    <mergeCell ref="B63:B68"/>
    <mergeCell ref="B69:B74"/>
    <mergeCell ref="B75:B80"/>
    <mergeCell ref="B81:B83"/>
    <mergeCell ref="B84:B89"/>
    <mergeCell ref="B90:B92"/>
    <mergeCell ref="B93:B95"/>
    <mergeCell ref="B96:B98"/>
    <mergeCell ref="B99:B104"/>
    <mergeCell ref="B105:B110"/>
    <mergeCell ref="B111:B113"/>
    <mergeCell ref="B114:B116"/>
    <mergeCell ref="B117:B122"/>
    <mergeCell ref="B123:B125"/>
    <mergeCell ref="B126:B128"/>
    <mergeCell ref="B129:B131"/>
    <mergeCell ref="B132:D132"/>
    <mergeCell ref="C134:D134"/>
    <mergeCell ref="C135:D135"/>
    <mergeCell ref="C136:D136"/>
    <mergeCell ref="C138:D138"/>
    <mergeCell ref="C139:D139"/>
    <mergeCell ref="C140:D140"/>
    <mergeCell ref="C142:D142"/>
    <mergeCell ref="C143:D143"/>
    <mergeCell ref="C144:D144"/>
    <mergeCell ref="C146:D146"/>
    <mergeCell ref="C147:D147"/>
    <mergeCell ref="C148:D148"/>
    <mergeCell ref="C150:D150"/>
    <mergeCell ref="C151:D151"/>
    <mergeCell ref="C152:D152"/>
    <mergeCell ref="B155:E155"/>
    <mergeCell ref="C156:D156"/>
    <mergeCell ref="B172:B174"/>
    <mergeCell ref="B176:B178"/>
    <mergeCell ref="C178:D178"/>
    <mergeCell ref="B134:B136"/>
    <mergeCell ref="B138:B140"/>
    <mergeCell ref="B142:B144"/>
    <mergeCell ref="B146:B148"/>
    <mergeCell ref="B150:B152"/>
    <mergeCell ref="B156:B158"/>
    <mergeCell ref="B160:B16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5.33"/>
    <col customWidth="1" min="3" max="3" width="19.67"/>
    <col customWidth="1" min="4" max="26" width="10.56"/>
  </cols>
  <sheetData>
    <row r="1" ht="15.75" customHeight="1">
      <c r="B1" s="124" t="s">
        <v>55</v>
      </c>
      <c r="C1" s="124"/>
    </row>
    <row r="2" ht="15.75" customHeight="1">
      <c r="B2" s="168" t="s">
        <v>56</v>
      </c>
      <c r="C2" s="169" t="s">
        <v>57</v>
      </c>
    </row>
    <row r="3" ht="15.75" customHeight="1">
      <c r="B3" s="62" t="s">
        <v>58</v>
      </c>
      <c r="C3" s="62" t="s">
        <v>53</v>
      </c>
    </row>
    <row r="4" ht="15.75" customHeight="1">
      <c r="B4" s="62" t="s">
        <v>59</v>
      </c>
      <c r="C4" s="170" t="s">
        <v>53</v>
      </c>
    </row>
    <row r="5" ht="15.75" customHeight="1">
      <c r="B5" s="62" t="s">
        <v>60</v>
      </c>
      <c r="C5" s="170" t="s">
        <v>52</v>
      </c>
    </row>
    <row r="6" ht="15.75" customHeight="1">
      <c r="B6" s="62" t="s">
        <v>61</v>
      </c>
      <c r="C6" s="170" t="s">
        <v>53</v>
      </c>
    </row>
    <row r="7" ht="15.75" customHeight="1">
      <c r="B7" s="62" t="s">
        <v>62</v>
      </c>
      <c r="C7" s="170" t="s">
        <v>52</v>
      </c>
    </row>
    <row r="8" ht="15.75" customHeight="1">
      <c r="B8" s="62" t="s">
        <v>63</v>
      </c>
      <c r="C8" s="170" t="s">
        <v>53</v>
      </c>
    </row>
    <row r="9" ht="15.75" customHeight="1">
      <c r="B9" s="62" t="s">
        <v>64</v>
      </c>
      <c r="C9" s="170" t="s">
        <v>53</v>
      </c>
    </row>
    <row r="10" ht="15.75" customHeight="1">
      <c r="B10" s="62" t="s">
        <v>65</v>
      </c>
      <c r="C10" s="170" t="s">
        <v>53</v>
      </c>
    </row>
    <row r="11" ht="15.75" customHeight="1">
      <c r="B11" s="62" t="s">
        <v>66</v>
      </c>
      <c r="C11" s="170" t="s">
        <v>53</v>
      </c>
    </row>
    <row r="12" ht="15.75" customHeight="1">
      <c r="B12" s="62" t="s">
        <v>67</v>
      </c>
      <c r="C12" s="170" t="s">
        <v>53</v>
      </c>
    </row>
    <row r="13" ht="15.75" customHeight="1">
      <c r="B13" s="62" t="s">
        <v>68</v>
      </c>
      <c r="C13" s="170" t="s">
        <v>52</v>
      </c>
    </row>
    <row r="14" ht="15.75" customHeight="1">
      <c r="B14" s="62" t="s">
        <v>69</v>
      </c>
      <c r="C14" s="170" t="s">
        <v>53</v>
      </c>
    </row>
    <row r="15" ht="15.75" customHeight="1">
      <c r="B15" s="62" t="s">
        <v>70</v>
      </c>
      <c r="C15" s="170" t="s">
        <v>53</v>
      </c>
    </row>
    <row r="16" ht="15.75" customHeight="1">
      <c r="B16" s="62" t="s">
        <v>71</v>
      </c>
      <c r="C16" s="170" t="s">
        <v>53</v>
      </c>
    </row>
    <row r="17" ht="15.75" customHeight="1">
      <c r="B17" s="62" t="s">
        <v>72</v>
      </c>
      <c r="C17" s="170" t="s">
        <v>53</v>
      </c>
    </row>
    <row r="18" ht="15.75" customHeight="1">
      <c r="B18" s="62" t="s">
        <v>73</v>
      </c>
      <c r="C18" s="170" t="s">
        <v>52</v>
      </c>
    </row>
    <row r="19" ht="15.75" customHeight="1">
      <c r="B19" s="62" t="s">
        <v>74</v>
      </c>
      <c r="C19" s="170" t="s">
        <v>53</v>
      </c>
    </row>
    <row r="20" ht="15.75" customHeight="1">
      <c r="B20" s="62" t="s">
        <v>75</v>
      </c>
      <c r="C20" s="170" t="s">
        <v>52</v>
      </c>
    </row>
    <row r="21" ht="15.75" customHeight="1">
      <c r="B21" s="62" t="s">
        <v>76</v>
      </c>
      <c r="C21" s="170" t="s">
        <v>52</v>
      </c>
    </row>
    <row r="22" ht="19.5" customHeight="1">
      <c r="B22" s="62" t="s">
        <v>77</v>
      </c>
      <c r="C22" s="170" t="s">
        <v>52</v>
      </c>
    </row>
    <row r="23" ht="15.75" customHeight="1">
      <c r="A23" s="171"/>
      <c r="B23" s="62" t="s">
        <v>78</v>
      </c>
      <c r="C23" s="170" t="s">
        <v>52</v>
      </c>
    </row>
    <row r="24" ht="15.75" customHeight="1">
      <c r="A24" s="171"/>
      <c r="B24" s="62" t="s">
        <v>79</v>
      </c>
      <c r="C24" s="170" t="s">
        <v>53</v>
      </c>
    </row>
    <row r="25" ht="15.75" customHeight="1">
      <c r="A25" s="171"/>
      <c r="B25" s="62" t="s">
        <v>80</v>
      </c>
      <c r="C25" s="170" t="s">
        <v>52</v>
      </c>
    </row>
    <row r="26" ht="15.75" customHeight="1">
      <c r="A26" s="171"/>
      <c r="B26" s="62" t="s">
        <v>81</v>
      </c>
      <c r="C26" s="170" t="s">
        <v>52</v>
      </c>
    </row>
    <row r="27" ht="15.75" customHeight="1">
      <c r="A27" s="171"/>
      <c r="B27" s="62" t="s">
        <v>82</v>
      </c>
      <c r="C27" s="170" t="s">
        <v>53</v>
      </c>
    </row>
    <row r="28" ht="15.75" customHeight="1">
      <c r="A28" s="171"/>
      <c r="B28" s="62" t="s">
        <v>83</v>
      </c>
      <c r="C28" s="170" t="s">
        <v>53</v>
      </c>
    </row>
    <row r="29" ht="15.75" customHeight="1">
      <c r="A29" s="171"/>
      <c r="B29" s="62" t="s">
        <v>84</v>
      </c>
      <c r="C29" s="170" t="s">
        <v>53</v>
      </c>
    </row>
    <row r="30" ht="15.75" customHeight="1">
      <c r="A30" s="171"/>
      <c r="B30" s="62" t="s">
        <v>85</v>
      </c>
      <c r="C30" s="170" t="s">
        <v>52</v>
      </c>
    </row>
    <row r="31" ht="15.75" customHeight="1">
      <c r="A31" s="171"/>
      <c r="B31" s="62" t="s">
        <v>86</v>
      </c>
      <c r="C31" s="170" t="s">
        <v>52</v>
      </c>
    </row>
    <row r="32" ht="15.75" customHeight="1">
      <c r="A32" s="171"/>
      <c r="B32" s="62" t="s">
        <v>87</v>
      </c>
      <c r="C32" s="170" t="s">
        <v>52</v>
      </c>
    </row>
    <row r="33" ht="15.75" customHeight="1">
      <c r="A33" s="171"/>
      <c r="B33" s="62" t="s">
        <v>88</v>
      </c>
      <c r="C33" s="170" t="s">
        <v>52</v>
      </c>
    </row>
    <row r="34" ht="15.75" customHeight="1">
      <c r="A34" s="171"/>
      <c r="B34" s="62" t="s">
        <v>89</v>
      </c>
      <c r="C34" s="170" t="s">
        <v>53</v>
      </c>
    </row>
    <row r="35" ht="15.75" customHeight="1">
      <c r="A35" s="171"/>
      <c r="B35" s="62" t="s">
        <v>90</v>
      </c>
      <c r="C35" s="170" t="s">
        <v>53</v>
      </c>
    </row>
    <row r="36" ht="15.75" customHeight="1">
      <c r="A36" s="171"/>
      <c r="B36" s="62" t="s">
        <v>91</v>
      </c>
      <c r="C36" s="170" t="s">
        <v>52</v>
      </c>
    </row>
    <row r="37" ht="15.75" customHeight="1">
      <c r="A37" s="171"/>
      <c r="B37" s="62" t="s">
        <v>92</v>
      </c>
      <c r="C37" s="170" t="s">
        <v>53</v>
      </c>
    </row>
    <row r="38" ht="15.75" customHeight="1">
      <c r="A38" s="171"/>
      <c r="B38" s="62" t="s">
        <v>93</v>
      </c>
      <c r="C38" s="170" t="s">
        <v>53</v>
      </c>
    </row>
    <row r="39" ht="15.75" customHeight="1">
      <c r="A39" s="171"/>
      <c r="B39" s="62" t="s">
        <v>94</v>
      </c>
      <c r="C39" s="170" t="s">
        <v>53</v>
      </c>
    </row>
    <row r="40" ht="15.75" customHeight="1">
      <c r="A40" s="171"/>
      <c r="B40" s="62" t="s">
        <v>95</v>
      </c>
      <c r="C40" s="170" t="s">
        <v>53</v>
      </c>
    </row>
    <row r="41" ht="15.75" customHeight="1">
      <c r="A41" s="171"/>
      <c r="B41" s="62" t="s">
        <v>96</v>
      </c>
      <c r="C41" s="170" t="s">
        <v>53</v>
      </c>
    </row>
    <row r="42" ht="15.75" customHeight="1">
      <c r="A42" s="171"/>
      <c r="B42" s="62" t="s">
        <v>97</v>
      </c>
      <c r="C42" s="170" t="s">
        <v>53</v>
      </c>
    </row>
    <row r="43" ht="15.75" customHeight="1">
      <c r="A43" s="171"/>
      <c r="B43" s="62" t="s">
        <v>98</v>
      </c>
      <c r="C43" s="170" t="s">
        <v>52</v>
      </c>
    </row>
    <row r="44" ht="15.75" customHeight="1">
      <c r="A44" s="171"/>
      <c r="B44" s="62" t="s">
        <v>99</v>
      </c>
      <c r="C44" s="170" t="s">
        <v>52</v>
      </c>
    </row>
    <row r="45" ht="15.75" customHeight="1">
      <c r="A45" s="171"/>
      <c r="B45" s="62" t="s">
        <v>100</v>
      </c>
      <c r="C45" s="170" t="s">
        <v>52</v>
      </c>
    </row>
    <row r="46" ht="15.75" customHeight="1">
      <c r="A46" s="171"/>
      <c r="B46" s="62" t="s">
        <v>101</v>
      </c>
      <c r="C46" s="170" t="s">
        <v>53</v>
      </c>
    </row>
    <row r="47" ht="15.75" customHeight="1">
      <c r="A47" s="171"/>
      <c r="B47" s="62" t="s">
        <v>102</v>
      </c>
      <c r="C47" s="170" t="s">
        <v>52</v>
      </c>
    </row>
    <row r="48" ht="15.75" customHeight="1">
      <c r="A48" s="171"/>
      <c r="B48" s="62" t="s">
        <v>103</v>
      </c>
      <c r="C48" s="170" t="s">
        <v>53</v>
      </c>
    </row>
    <row r="49" ht="15.75" customHeight="1">
      <c r="A49" s="171"/>
      <c r="B49" s="62" t="s">
        <v>104</v>
      </c>
      <c r="C49" s="170" t="s">
        <v>53</v>
      </c>
    </row>
    <row r="50" ht="15.75" customHeight="1">
      <c r="A50" s="171"/>
      <c r="B50" s="62" t="s">
        <v>105</v>
      </c>
      <c r="C50" s="170" t="s">
        <v>52</v>
      </c>
    </row>
    <row r="51" ht="15.75" customHeight="1">
      <c r="A51" s="171"/>
      <c r="B51" s="62" t="s">
        <v>106</v>
      </c>
      <c r="C51" s="170" t="s">
        <v>52</v>
      </c>
    </row>
    <row r="52" ht="15.75" customHeight="1">
      <c r="A52" s="171"/>
      <c r="B52" s="62" t="s">
        <v>107</v>
      </c>
      <c r="C52" s="170" t="s">
        <v>53</v>
      </c>
    </row>
    <row r="53" ht="15.75" customHeight="1">
      <c r="A53" s="171"/>
      <c r="B53" s="62" t="s">
        <v>108</v>
      </c>
      <c r="C53" s="170" t="s">
        <v>53</v>
      </c>
    </row>
    <row r="54" ht="15.75" customHeight="1">
      <c r="A54" s="171"/>
      <c r="B54" s="62" t="s">
        <v>109</v>
      </c>
      <c r="C54" s="170" t="s">
        <v>53</v>
      </c>
    </row>
    <row r="55" ht="15.75" customHeight="1">
      <c r="A55" s="171"/>
      <c r="B55" s="62" t="s">
        <v>110</v>
      </c>
      <c r="C55" s="170" t="s">
        <v>52</v>
      </c>
    </row>
    <row r="56" ht="15.75" customHeight="1">
      <c r="A56" s="171"/>
      <c r="B56" s="62" t="s">
        <v>111</v>
      </c>
      <c r="C56" s="170" t="s">
        <v>53</v>
      </c>
    </row>
    <row r="57" ht="15.75" customHeight="1">
      <c r="A57" s="171"/>
      <c r="B57" s="62" t="s">
        <v>112</v>
      </c>
      <c r="C57" s="170" t="s">
        <v>53</v>
      </c>
    </row>
    <row r="58" ht="15.75" customHeight="1">
      <c r="A58" s="171"/>
      <c r="B58" s="62" t="s">
        <v>113</v>
      </c>
      <c r="C58" s="170" t="s">
        <v>53</v>
      </c>
    </row>
    <row r="59" ht="15.75" customHeight="1">
      <c r="A59" s="171"/>
      <c r="B59" s="62" t="s">
        <v>114</v>
      </c>
      <c r="C59" s="170" t="s">
        <v>53</v>
      </c>
    </row>
    <row r="60" ht="15.75" customHeight="1">
      <c r="A60" s="171"/>
      <c r="B60" s="62" t="s">
        <v>115</v>
      </c>
      <c r="C60" s="170" t="s">
        <v>53</v>
      </c>
    </row>
    <row r="61" ht="15.75" customHeight="1">
      <c r="A61" s="171"/>
      <c r="B61" s="62" t="s">
        <v>116</v>
      </c>
      <c r="C61" s="170" t="s">
        <v>52</v>
      </c>
    </row>
    <row r="62" ht="15.75" customHeight="1">
      <c r="A62" s="171"/>
      <c r="B62" s="62" t="s">
        <v>117</v>
      </c>
      <c r="C62" s="170" t="s">
        <v>53</v>
      </c>
    </row>
    <row r="63" ht="15.75" customHeight="1">
      <c r="A63" s="171"/>
      <c r="B63" s="62" t="s">
        <v>118</v>
      </c>
      <c r="C63" s="170" t="s">
        <v>53</v>
      </c>
    </row>
    <row r="64" ht="15.75" customHeight="1">
      <c r="A64" s="171"/>
      <c r="B64" s="62" t="s">
        <v>119</v>
      </c>
      <c r="C64" s="170" t="s">
        <v>52</v>
      </c>
    </row>
    <row r="65" ht="15.75" customHeight="1">
      <c r="A65" s="171"/>
      <c r="B65" s="62" t="s">
        <v>120</v>
      </c>
      <c r="C65" s="170" t="s">
        <v>52</v>
      </c>
    </row>
    <row r="66" ht="15.75" customHeight="1">
      <c r="A66" s="171"/>
      <c r="B66" s="62" t="s">
        <v>121</v>
      </c>
      <c r="C66" s="170" t="s">
        <v>53</v>
      </c>
    </row>
    <row r="67" ht="15.75" customHeight="1">
      <c r="A67" s="171"/>
      <c r="B67" s="62" t="s">
        <v>122</v>
      </c>
      <c r="C67" s="170" t="s">
        <v>52</v>
      </c>
    </row>
    <row r="68" ht="15.75" customHeight="1">
      <c r="A68" s="171"/>
      <c r="B68" s="62" t="s">
        <v>123</v>
      </c>
      <c r="C68" s="170" t="s">
        <v>53</v>
      </c>
    </row>
    <row r="69" ht="15.75" customHeight="1">
      <c r="A69" s="171"/>
      <c r="B69" s="62" t="s">
        <v>124</v>
      </c>
      <c r="C69" s="170" t="s">
        <v>52</v>
      </c>
    </row>
    <row r="70" ht="15.75" customHeight="1">
      <c r="A70" s="171"/>
      <c r="B70" s="62" t="s">
        <v>125</v>
      </c>
      <c r="C70" s="170" t="s">
        <v>52</v>
      </c>
    </row>
    <row r="71" ht="15.75" customHeight="1">
      <c r="A71" s="171"/>
      <c r="B71" s="62" t="s">
        <v>126</v>
      </c>
      <c r="C71" s="170" t="s">
        <v>52</v>
      </c>
    </row>
    <row r="72" ht="15.75" customHeight="1">
      <c r="A72" s="171"/>
      <c r="B72" s="62" t="s">
        <v>127</v>
      </c>
      <c r="C72" s="170" t="s">
        <v>53</v>
      </c>
    </row>
    <row r="73" ht="15.75" customHeight="1">
      <c r="A73" s="171"/>
      <c r="B73" s="62" t="s">
        <v>128</v>
      </c>
      <c r="C73" s="170" t="s">
        <v>53</v>
      </c>
    </row>
    <row r="74" ht="15.75" customHeight="1">
      <c r="A74" s="171"/>
      <c r="B74" s="62" t="s">
        <v>129</v>
      </c>
      <c r="C74" s="170" t="s">
        <v>53</v>
      </c>
    </row>
    <row r="75" ht="15.75" customHeight="1">
      <c r="A75" s="171"/>
      <c r="B75" s="62" t="s">
        <v>130</v>
      </c>
      <c r="C75" s="170" t="s">
        <v>52</v>
      </c>
    </row>
    <row r="76" ht="15.75" customHeight="1">
      <c r="A76" s="171"/>
      <c r="B76" s="62" t="s">
        <v>131</v>
      </c>
      <c r="C76" s="170" t="s">
        <v>53</v>
      </c>
    </row>
    <row r="77" ht="15.75" customHeight="1">
      <c r="A77" s="171"/>
      <c r="B77" s="62" t="s">
        <v>132</v>
      </c>
      <c r="C77" s="170" t="s">
        <v>52</v>
      </c>
    </row>
    <row r="78" ht="15.75" customHeight="1">
      <c r="A78" s="171"/>
      <c r="B78" s="62" t="s">
        <v>133</v>
      </c>
      <c r="C78" s="170" t="s">
        <v>52</v>
      </c>
    </row>
    <row r="79" ht="15.75" customHeight="1">
      <c r="A79" s="171"/>
      <c r="B79" s="62" t="s">
        <v>134</v>
      </c>
      <c r="C79" s="170" t="s">
        <v>53</v>
      </c>
    </row>
    <row r="80" ht="15.75" customHeight="1">
      <c r="A80" s="171"/>
      <c r="B80" s="62" t="s">
        <v>135</v>
      </c>
      <c r="C80" s="170" t="s">
        <v>53</v>
      </c>
    </row>
    <row r="81" ht="15.75" customHeight="1">
      <c r="A81" s="171"/>
      <c r="B81" s="62" t="s">
        <v>136</v>
      </c>
      <c r="C81" s="170" t="s">
        <v>53</v>
      </c>
    </row>
    <row r="82" ht="15.75" customHeight="1">
      <c r="A82" s="171"/>
      <c r="B82" s="62" t="s">
        <v>137</v>
      </c>
      <c r="C82" s="62" t="s">
        <v>52</v>
      </c>
    </row>
    <row r="83" ht="15.75" customHeight="1">
      <c r="A83" s="171"/>
      <c r="B83" s="62" t="s">
        <v>138</v>
      </c>
      <c r="C83" s="170" t="s">
        <v>52</v>
      </c>
    </row>
    <row r="84" ht="15.75" customHeight="1">
      <c r="A84" s="171"/>
      <c r="B84" s="62" t="s">
        <v>139</v>
      </c>
      <c r="C84" s="170" t="s">
        <v>52</v>
      </c>
    </row>
    <row r="85" ht="15.75" customHeight="1">
      <c r="A85" s="171"/>
      <c r="B85" s="62" t="s">
        <v>140</v>
      </c>
      <c r="C85" s="170" t="s">
        <v>53</v>
      </c>
    </row>
    <row r="86" ht="15.75" customHeight="1">
      <c r="A86" s="171"/>
      <c r="B86" s="62" t="s">
        <v>141</v>
      </c>
      <c r="C86" s="170" t="s">
        <v>53</v>
      </c>
    </row>
    <row r="87" ht="15.75" customHeight="1">
      <c r="A87" s="171"/>
      <c r="B87" s="62" t="s">
        <v>142</v>
      </c>
      <c r="C87" s="170" t="s">
        <v>52</v>
      </c>
    </row>
    <row r="88" ht="15.75" customHeight="1">
      <c r="A88" s="171"/>
      <c r="B88" s="62" t="s">
        <v>143</v>
      </c>
      <c r="C88" s="170" t="s">
        <v>52</v>
      </c>
    </row>
    <row r="89" ht="15.75" customHeight="1">
      <c r="A89" s="171"/>
      <c r="B89" s="62" t="s">
        <v>144</v>
      </c>
      <c r="C89" s="170" t="s">
        <v>52</v>
      </c>
    </row>
    <row r="90" ht="15.75" customHeight="1">
      <c r="A90" s="171"/>
      <c r="B90" s="62" t="s">
        <v>145</v>
      </c>
      <c r="C90" s="170" t="s">
        <v>52</v>
      </c>
    </row>
    <row r="91" ht="15.75" customHeight="1">
      <c r="A91" s="171"/>
      <c r="B91" s="62" t="s">
        <v>146</v>
      </c>
      <c r="C91" s="170" t="s">
        <v>53</v>
      </c>
    </row>
    <row r="92" ht="15.75" customHeight="1">
      <c r="A92" s="171"/>
      <c r="B92" s="62" t="s">
        <v>147</v>
      </c>
      <c r="C92" s="170" t="s">
        <v>53</v>
      </c>
    </row>
    <row r="93" ht="15.75" customHeight="1">
      <c r="A93" s="171"/>
      <c r="B93" s="62" t="s">
        <v>148</v>
      </c>
      <c r="C93" s="170" t="s">
        <v>52</v>
      </c>
    </row>
    <row r="94" ht="15.75" customHeight="1">
      <c r="A94" s="171"/>
      <c r="B94" s="62" t="s">
        <v>149</v>
      </c>
      <c r="C94" s="170" t="s">
        <v>53</v>
      </c>
    </row>
    <row r="95" ht="15.75" customHeight="1">
      <c r="A95" s="171"/>
      <c r="B95" s="62" t="s">
        <v>150</v>
      </c>
      <c r="C95" s="170" t="s">
        <v>52</v>
      </c>
    </row>
    <row r="96" ht="15.75" customHeight="1">
      <c r="A96" s="171"/>
      <c r="B96" s="62" t="s">
        <v>151</v>
      </c>
      <c r="C96" s="62" t="s">
        <v>52</v>
      </c>
    </row>
    <row r="97" ht="15.75" customHeight="1">
      <c r="C97" s="62"/>
    </row>
    <row r="98" ht="15.75" customHeight="1">
      <c r="B98" s="124" t="s">
        <v>152</v>
      </c>
      <c r="C98" s="124"/>
    </row>
    <row r="99" ht="15.75" customHeight="1">
      <c r="A99" s="171"/>
      <c r="B99" s="62" t="s">
        <v>153</v>
      </c>
      <c r="C99" s="171" t="s">
        <v>52</v>
      </c>
      <c r="D99" s="172"/>
    </row>
    <row r="100" ht="15.75" customHeight="1">
      <c r="A100" s="171"/>
      <c r="B100" s="62" t="s">
        <v>154</v>
      </c>
      <c r="C100" s="171" t="s">
        <v>52</v>
      </c>
      <c r="D100" s="172"/>
    </row>
    <row r="101" ht="15.75" customHeight="1">
      <c r="A101" s="171"/>
      <c r="B101" s="62" t="s">
        <v>155</v>
      </c>
      <c r="C101" s="171" t="s">
        <v>52</v>
      </c>
      <c r="D101" s="172"/>
    </row>
    <row r="102" ht="15.75" customHeight="1">
      <c r="A102" s="171"/>
      <c r="B102" s="62" t="s">
        <v>156</v>
      </c>
      <c r="C102" s="171" t="s">
        <v>52</v>
      </c>
      <c r="D102" s="172"/>
    </row>
    <row r="103" ht="15.75" customHeight="1">
      <c r="A103" s="171"/>
      <c r="B103" s="62" t="s">
        <v>157</v>
      </c>
      <c r="C103" s="171" t="s">
        <v>52</v>
      </c>
      <c r="D103" s="172"/>
    </row>
    <row r="104" ht="15.75" customHeight="1">
      <c r="A104" s="171"/>
      <c r="B104" s="62" t="s">
        <v>158</v>
      </c>
      <c r="C104" s="171" t="s">
        <v>52</v>
      </c>
      <c r="D104" s="172"/>
    </row>
    <row r="105" ht="15.75" customHeight="1">
      <c r="A105" s="171"/>
      <c r="B105" s="62" t="s">
        <v>159</v>
      </c>
      <c r="C105" s="171" t="s">
        <v>53</v>
      </c>
      <c r="D105" s="172"/>
    </row>
    <row r="106" ht="15.75" customHeight="1">
      <c r="A106" s="171"/>
      <c r="B106" s="62" t="s">
        <v>160</v>
      </c>
      <c r="C106" s="171" t="s">
        <v>53</v>
      </c>
      <c r="D106" s="172"/>
    </row>
    <row r="107" ht="15.75" customHeight="1">
      <c r="A107" s="171"/>
      <c r="B107" s="62" t="s">
        <v>161</v>
      </c>
      <c r="C107" s="171" t="s">
        <v>53</v>
      </c>
      <c r="D107" s="172"/>
    </row>
    <row r="108" ht="15.75" customHeight="1">
      <c r="A108" s="171"/>
      <c r="B108" s="62" t="s">
        <v>162</v>
      </c>
      <c r="C108" s="171" t="s">
        <v>53</v>
      </c>
      <c r="D108" s="172"/>
    </row>
    <row r="109" ht="15.75" customHeight="1">
      <c r="A109" s="171"/>
      <c r="B109" s="62" t="s">
        <v>163</v>
      </c>
      <c r="C109" s="171" t="s">
        <v>53</v>
      </c>
      <c r="D109" s="172"/>
    </row>
    <row r="110" ht="15.75" customHeight="1">
      <c r="A110" s="171"/>
      <c r="B110" s="62" t="s">
        <v>164</v>
      </c>
      <c r="C110" s="171" t="s">
        <v>52</v>
      </c>
    </row>
    <row r="111" ht="15.75" customHeight="1">
      <c r="C111" s="62"/>
    </row>
    <row r="112" ht="15.75" customHeight="1">
      <c r="C112" s="62"/>
    </row>
    <row r="113" ht="15.75" customHeight="1">
      <c r="C113" s="62"/>
    </row>
    <row r="114" ht="15.75" customHeight="1">
      <c r="C114" s="62"/>
    </row>
    <row r="115" ht="15.75" customHeight="1">
      <c r="C115" s="62"/>
    </row>
    <row r="116" ht="15.75" customHeight="1">
      <c r="C116" s="62"/>
    </row>
    <row r="117" ht="15.75" customHeight="1">
      <c r="C117" s="62"/>
    </row>
    <row r="118" ht="15.75" customHeight="1">
      <c r="C118" s="62"/>
    </row>
    <row r="119" ht="15.75" customHeight="1">
      <c r="C119" s="62"/>
    </row>
    <row r="120" ht="15.75" customHeight="1">
      <c r="C120" s="62"/>
    </row>
    <row r="121" ht="15.75" customHeight="1">
      <c r="C121" s="62"/>
    </row>
    <row r="122" ht="15.75" customHeight="1">
      <c r="C122" s="62"/>
    </row>
    <row r="123" ht="15.75" customHeight="1">
      <c r="C123" s="62"/>
    </row>
    <row r="124" ht="15.75" customHeight="1">
      <c r="C124" s="62"/>
    </row>
    <row r="125" ht="15.75" customHeight="1">
      <c r="C125" s="62"/>
    </row>
    <row r="126" ht="15.75" customHeight="1">
      <c r="C126" s="62"/>
    </row>
    <row r="127" ht="15.75" customHeight="1">
      <c r="C127" s="62"/>
    </row>
    <row r="128" ht="15.75" customHeight="1">
      <c r="C128" s="62"/>
    </row>
    <row r="129" ht="15.75" customHeight="1">
      <c r="C129" s="62"/>
    </row>
    <row r="130" ht="15.75" customHeight="1">
      <c r="C130" s="62"/>
    </row>
    <row r="131" ht="15.75" customHeight="1">
      <c r="C131" s="62"/>
    </row>
    <row r="132" ht="15.75" customHeight="1">
      <c r="C132" s="62"/>
    </row>
    <row r="133" ht="15.75" customHeight="1">
      <c r="C133" s="62"/>
    </row>
    <row r="134" ht="15.75" customHeight="1">
      <c r="C134" s="62"/>
    </row>
    <row r="135" ht="15.75" customHeight="1">
      <c r="C135" s="62"/>
    </row>
    <row r="136" ht="15.75" customHeight="1">
      <c r="C136" s="62"/>
    </row>
    <row r="137" ht="15.75" customHeight="1">
      <c r="C137" s="62"/>
    </row>
    <row r="138" ht="15.75" customHeight="1">
      <c r="C138" s="62"/>
    </row>
    <row r="139" ht="15.75" customHeight="1">
      <c r="C139" s="62"/>
    </row>
    <row r="140" ht="15.75" customHeight="1">
      <c r="C140" s="62"/>
    </row>
    <row r="141" ht="15.75" customHeight="1">
      <c r="C141" s="62"/>
    </row>
    <row r="142" ht="15.75" customHeight="1">
      <c r="C142" s="62"/>
    </row>
    <row r="143" ht="15.75" customHeight="1">
      <c r="C143" s="62"/>
    </row>
    <row r="144" ht="15.75" customHeight="1">
      <c r="C144" s="62"/>
    </row>
    <row r="145" ht="15.75" customHeight="1">
      <c r="C145" s="62"/>
    </row>
    <row r="146" ht="15.75" customHeight="1">
      <c r="C146" s="62"/>
    </row>
    <row r="147" ht="15.75" customHeight="1">
      <c r="C147" s="62"/>
    </row>
    <row r="148" ht="15.75" customHeight="1">
      <c r="C148" s="62"/>
    </row>
    <row r="149" ht="15.75" customHeight="1">
      <c r="C149" s="62"/>
    </row>
    <row r="150" ht="15.75" customHeight="1">
      <c r="C150" s="62"/>
    </row>
    <row r="151" ht="15.75" customHeight="1">
      <c r="C151" s="62"/>
    </row>
    <row r="152" ht="15.75" customHeight="1">
      <c r="C152" s="62"/>
    </row>
    <row r="153" ht="15.75" customHeight="1">
      <c r="C153" s="62"/>
    </row>
    <row r="154" ht="15.75" customHeight="1">
      <c r="C154" s="62"/>
    </row>
    <row r="155" ht="15.75" customHeight="1">
      <c r="C155" s="62"/>
    </row>
    <row r="156" ht="15.75" customHeight="1">
      <c r="C156" s="62"/>
    </row>
    <row r="157" ht="15.75" customHeight="1">
      <c r="C157" s="62"/>
    </row>
    <row r="158" ht="15.75" customHeight="1">
      <c r="C158" s="62"/>
    </row>
    <row r="159" ht="15.75" customHeight="1">
      <c r="C159" s="62"/>
    </row>
    <row r="160" ht="15.75" customHeight="1">
      <c r="C160" s="62"/>
    </row>
    <row r="161" ht="15.75" customHeight="1">
      <c r="C161" s="62"/>
    </row>
    <row r="162" ht="15.75" customHeight="1">
      <c r="C162" s="62"/>
    </row>
    <row r="163" ht="15.75" customHeight="1">
      <c r="C163" s="62"/>
    </row>
    <row r="164" ht="15.75" customHeight="1">
      <c r="C164" s="62"/>
    </row>
    <row r="165" ht="15.75" customHeight="1">
      <c r="C165" s="62"/>
    </row>
    <row r="166" ht="15.75" customHeight="1">
      <c r="C166" s="62"/>
    </row>
    <row r="167" ht="15.75" customHeight="1">
      <c r="C167" s="62"/>
    </row>
    <row r="168" ht="15.75" customHeight="1">
      <c r="C168" s="62"/>
    </row>
    <row r="169" ht="15.75" customHeight="1">
      <c r="C169" s="62"/>
    </row>
    <row r="170" ht="15.75" customHeight="1">
      <c r="C170" s="62"/>
    </row>
    <row r="171" ht="15.75" customHeight="1">
      <c r="C171" s="62"/>
    </row>
    <row r="172" ht="15.75" customHeight="1">
      <c r="C172" s="62"/>
    </row>
    <row r="173" ht="15.75" customHeight="1">
      <c r="C173" s="62"/>
    </row>
    <row r="174" ht="15.75" customHeight="1">
      <c r="C174" s="62"/>
    </row>
    <row r="175" ht="15.75" customHeight="1">
      <c r="C175" s="62"/>
    </row>
    <row r="176" ht="15.75" customHeight="1">
      <c r="C176" s="62"/>
    </row>
    <row r="177" ht="15.75" customHeight="1">
      <c r="C177" s="62"/>
    </row>
    <row r="178" ht="15.75" customHeight="1">
      <c r="C178" s="62"/>
    </row>
    <row r="179" ht="15.75" customHeight="1">
      <c r="C179" s="62"/>
    </row>
    <row r="180" ht="15.75" customHeight="1">
      <c r="C180" s="62"/>
    </row>
    <row r="181" ht="15.75" customHeight="1">
      <c r="C181" s="62"/>
    </row>
    <row r="182" ht="15.75" customHeight="1">
      <c r="C182" s="62"/>
    </row>
    <row r="183" ht="15.75" customHeight="1">
      <c r="C183" s="62"/>
    </row>
    <row r="184" ht="15.75" customHeight="1">
      <c r="C184" s="62"/>
    </row>
    <row r="185" ht="15.75" customHeight="1">
      <c r="C185" s="62"/>
    </row>
    <row r="186" ht="15.75" customHeight="1">
      <c r="C186" s="62"/>
    </row>
    <row r="187" ht="15.75" customHeight="1">
      <c r="C187" s="62"/>
    </row>
    <row r="188" ht="15.75" customHeight="1">
      <c r="C188" s="62"/>
    </row>
    <row r="189" ht="15.75" customHeight="1">
      <c r="C189" s="62"/>
    </row>
    <row r="190" ht="15.75" customHeight="1">
      <c r="C190" s="62"/>
    </row>
    <row r="191" ht="15.75" customHeight="1">
      <c r="C191" s="62"/>
    </row>
    <row r="192" ht="15.75" customHeight="1">
      <c r="C192" s="62"/>
    </row>
    <row r="193" ht="15.75" customHeight="1">
      <c r="C193" s="62"/>
    </row>
    <row r="194" ht="15.75" customHeight="1">
      <c r="C194" s="62"/>
    </row>
    <row r="195" ht="15.75" customHeight="1">
      <c r="C195" s="62"/>
    </row>
    <row r="196" ht="15.75" customHeight="1">
      <c r="C196" s="62"/>
    </row>
    <row r="197" ht="15.75" customHeight="1">
      <c r="C197" s="62"/>
    </row>
    <row r="198" ht="15.75" customHeight="1">
      <c r="C198" s="62"/>
    </row>
    <row r="199" ht="15.75" customHeight="1">
      <c r="C199" s="62"/>
    </row>
    <row r="200" ht="15.75" customHeight="1">
      <c r="C200" s="62"/>
    </row>
    <row r="201" ht="15.75" customHeight="1">
      <c r="C201" s="62"/>
    </row>
    <row r="202" ht="15.75" customHeight="1">
      <c r="C202" s="62"/>
    </row>
    <row r="203" ht="15.75" customHeight="1">
      <c r="C203" s="62"/>
    </row>
    <row r="204" ht="15.75" customHeight="1">
      <c r="C204" s="62"/>
    </row>
    <row r="205" ht="15.75" customHeight="1">
      <c r="C205" s="62"/>
    </row>
    <row r="206" ht="15.75" customHeight="1">
      <c r="C206" s="62"/>
    </row>
    <row r="207" ht="15.75" customHeight="1">
      <c r="C207" s="62"/>
    </row>
    <row r="208" ht="15.75" customHeight="1">
      <c r="C208" s="62"/>
    </row>
    <row r="209" ht="15.75" customHeight="1">
      <c r="C209" s="62"/>
    </row>
    <row r="210" ht="15.75" customHeight="1">
      <c r="C210" s="62"/>
    </row>
    <row r="211" ht="15.75" customHeight="1">
      <c r="C211" s="62"/>
    </row>
    <row r="212" ht="15.75" customHeight="1">
      <c r="C212" s="62"/>
    </row>
    <row r="213" ht="15.75" customHeight="1">
      <c r="C213" s="62"/>
    </row>
    <row r="214" ht="15.75" customHeight="1">
      <c r="C214" s="62"/>
    </row>
    <row r="215" ht="15.75" customHeight="1">
      <c r="C215" s="62"/>
    </row>
    <row r="216" ht="15.75" customHeight="1">
      <c r="C216" s="62"/>
    </row>
    <row r="217" ht="15.75" customHeight="1">
      <c r="C217" s="62"/>
    </row>
    <row r="218" ht="15.75" customHeight="1">
      <c r="C218" s="62"/>
    </row>
    <row r="219" ht="15.75" customHeight="1">
      <c r="C219" s="62"/>
    </row>
    <row r="220" ht="15.75" customHeight="1">
      <c r="C220" s="62"/>
    </row>
    <row r="221" ht="15.75" customHeight="1">
      <c r="C221" s="62"/>
    </row>
    <row r="222" ht="15.75" customHeight="1">
      <c r="C222" s="62"/>
    </row>
    <row r="223" ht="15.75" customHeight="1">
      <c r="C223" s="62"/>
    </row>
    <row r="224" ht="15.75" customHeight="1">
      <c r="C224" s="62"/>
    </row>
    <row r="225" ht="15.75" customHeight="1">
      <c r="C225" s="62"/>
    </row>
    <row r="226" ht="15.75" customHeight="1">
      <c r="C226" s="62"/>
    </row>
    <row r="227" ht="15.75" customHeight="1">
      <c r="C227" s="62"/>
    </row>
    <row r="228" ht="15.75" customHeight="1">
      <c r="C228" s="62"/>
    </row>
    <row r="229" ht="15.75" customHeight="1">
      <c r="C229" s="62"/>
    </row>
    <row r="230" ht="15.75" customHeight="1">
      <c r="C230" s="62"/>
    </row>
    <row r="231" ht="15.75" customHeight="1">
      <c r="C231" s="62"/>
    </row>
    <row r="232" ht="15.75" customHeight="1">
      <c r="C232" s="62"/>
    </row>
    <row r="233" ht="15.75" customHeight="1">
      <c r="C233" s="62"/>
    </row>
    <row r="234" ht="15.75" customHeight="1">
      <c r="C234" s="62"/>
    </row>
    <row r="235" ht="15.75" customHeight="1">
      <c r="C235" s="62"/>
    </row>
    <row r="236" ht="15.75" customHeight="1">
      <c r="C236" s="62"/>
    </row>
    <row r="237" ht="15.75" customHeight="1">
      <c r="C237" s="62"/>
    </row>
    <row r="238" ht="15.75" customHeight="1">
      <c r="C238" s="62"/>
    </row>
    <row r="239" ht="15.75" customHeight="1">
      <c r="C239" s="62"/>
    </row>
    <row r="240" ht="15.75" customHeight="1">
      <c r="C240" s="62"/>
    </row>
    <row r="241" ht="15.75" customHeight="1">
      <c r="C241" s="62"/>
    </row>
    <row r="242" ht="15.75" customHeight="1">
      <c r="C242" s="62"/>
    </row>
    <row r="243" ht="15.75" customHeight="1">
      <c r="C243" s="62"/>
    </row>
    <row r="244" ht="15.75" customHeight="1">
      <c r="C244" s="62"/>
    </row>
    <row r="245" ht="15.75" customHeight="1">
      <c r="C245" s="62"/>
    </row>
    <row r="246" ht="15.75" customHeight="1">
      <c r="C246" s="62"/>
    </row>
    <row r="247" ht="15.75" customHeight="1">
      <c r="C247" s="62"/>
    </row>
    <row r="248" ht="15.75" customHeight="1">
      <c r="C248" s="62"/>
    </row>
    <row r="249" ht="15.75" customHeight="1">
      <c r="C249" s="62"/>
    </row>
    <row r="250" ht="15.75" customHeight="1">
      <c r="C250" s="62"/>
    </row>
    <row r="251" ht="15.75" customHeight="1">
      <c r="C251" s="62"/>
    </row>
    <row r="252" ht="15.75" customHeight="1">
      <c r="C252" s="62"/>
    </row>
    <row r="253" ht="15.75" customHeight="1">
      <c r="C253" s="62"/>
    </row>
    <row r="254" ht="15.75" customHeight="1">
      <c r="C254" s="62"/>
    </row>
    <row r="255" ht="15.75" customHeight="1">
      <c r="C255" s="62"/>
    </row>
    <row r="256" ht="15.75" customHeight="1">
      <c r="C256" s="62"/>
    </row>
    <row r="257" ht="15.75" customHeight="1">
      <c r="C257" s="62"/>
    </row>
    <row r="258" ht="15.75" customHeight="1">
      <c r="C258" s="62"/>
    </row>
    <row r="259" ht="15.75" customHeight="1">
      <c r="C259" s="62"/>
    </row>
    <row r="260" ht="15.75" customHeight="1">
      <c r="C260" s="62"/>
    </row>
    <row r="261" ht="15.75" customHeight="1">
      <c r="C261" s="62"/>
    </row>
    <row r="262" ht="15.75" customHeight="1">
      <c r="C262" s="62"/>
    </row>
    <row r="263" ht="15.75" customHeight="1">
      <c r="C263" s="62"/>
    </row>
    <row r="264" ht="15.75" customHeight="1">
      <c r="C264" s="62"/>
    </row>
    <row r="265" ht="15.75" customHeight="1">
      <c r="C265" s="62"/>
    </row>
    <row r="266" ht="15.75" customHeight="1">
      <c r="C266" s="62"/>
    </row>
    <row r="267" ht="15.75" customHeight="1">
      <c r="C267" s="62"/>
    </row>
    <row r="268" ht="15.75" customHeight="1">
      <c r="C268" s="62"/>
    </row>
    <row r="269" ht="15.75" customHeight="1">
      <c r="C269" s="62"/>
    </row>
    <row r="270" ht="15.75" customHeight="1">
      <c r="C270" s="62"/>
    </row>
    <row r="271" ht="15.75" customHeight="1">
      <c r="C271" s="62"/>
    </row>
    <row r="272" ht="15.75" customHeight="1">
      <c r="C272" s="62"/>
    </row>
    <row r="273" ht="15.75" customHeight="1">
      <c r="C273" s="62"/>
    </row>
    <row r="274" ht="15.75" customHeight="1">
      <c r="C274" s="62"/>
    </row>
    <row r="275" ht="15.75" customHeight="1">
      <c r="C275" s="62"/>
    </row>
    <row r="276" ht="15.75" customHeight="1">
      <c r="C276" s="62"/>
    </row>
    <row r="277" ht="15.75" customHeight="1">
      <c r="C277" s="62"/>
    </row>
    <row r="278" ht="15.75" customHeight="1">
      <c r="C278" s="62"/>
    </row>
    <row r="279" ht="15.75" customHeight="1">
      <c r="C279" s="62"/>
    </row>
    <row r="280" ht="15.75" customHeight="1">
      <c r="C280" s="62"/>
    </row>
    <row r="281" ht="15.75" customHeight="1">
      <c r="C281" s="62"/>
    </row>
    <row r="282" ht="15.75" customHeight="1">
      <c r="C282" s="62"/>
    </row>
    <row r="283" ht="15.75" customHeight="1">
      <c r="C283" s="62"/>
    </row>
    <row r="284" ht="15.75" customHeight="1">
      <c r="C284" s="62"/>
    </row>
    <row r="285" ht="15.75" customHeight="1">
      <c r="C285" s="62"/>
    </row>
    <row r="286" ht="15.75" customHeight="1">
      <c r="C286" s="62"/>
    </row>
    <row r="287" ht="15.75" customHeight="1">
      <c r="C287" s="62"/>
    </row>
    <row r="288" ht="15.75" customHeight="1">
      <c r="C288" s="62"/>
    </row>
    <row r="289" ht="15.75" customHeight="1">
      <c r="C289" s="62"/>
    </row>
    <row r="290" ht="15.75" customHeight="1">
      <c r="C290" s="62"/>
    </row>
    <row r="291" ht="15.75" customHeight="1">
      <c r="C291" s="62"/>
    </row>
    <row r="292" ht="15.75" customHeight="1">
      <c r="C292" s="62"/>
    </row>
    <row r="293" ht="15.75" customHeight="1">
      <c r="C293" s="62"/>
    </row>
    <row r="294" ht="15.75" customHeight="1">
      <c r="C294" s="62"/>
    </row>
    <row r="295" ht="15.75" customHeight="1">
      <c r="C295" s="62"/>
    </row>
    <row r="296" ht="15.75" customHeight="1">
      <c r="C296" s="62"/>
    </row>
    <row r="297" ht="15.75" customHeight="1">
      <c r="C297" s="62"/>
    </row>
    <row r="298" ht="15.75" customHeight="1">
      <c r="C298" s="62"/>
    </row>
    <row r="299" ht="15.75" customHeight="1">
      <c r="C299" s="62"/>
    </row>
    <row r="300" ht="15.75" customHeight="1">
      <c r="C300" s="62"/>
    </row>
    <row r="301" ht="15.75" customHeight="1">
      <c r="C301" s="62"/>
    </row>
    <row r="302" ht="15.75" customHeight="1">
      <c r="C302" s="62"/>
    </row>
    <row r="303" ht="15.75" customHeight="1">
      <c r="C303" s="62"/>
    </row>
    <row r="304" ht="15.75" customHeight="1">
      <c r="C304" s="62"/>
    </row>
    <row r="305" ht="15.75" customHeight="1">
      <c r="C305" s="62"/>
    </row>
    <row r="306" ht="15.75" customHeight="1">
      <c r="C306" s="62"/>
    </row>
    <row r="307" ht="15.75" customHeight="1">
      <c r="C307" s="62"/>
    </row>
    <row r="308" ht="15.75" customHeight="1">
      <c r="C308" s="62"/>
    </row>
    <row r="309" ht="15.75" customHeight="1">
      <c r="C309" s="62"/>
    </row>
    <row r="310" ht="15.75" customHeight="1">
      <c r="C310" s="62"/>
    </row>
    <row r="311" ht="15.75" customHeight="1">
      <c r="C311" s="62"/>
    </row>
    <row r="312" ht="15.75" customHeight="1">
      <c r="C312" s="62"/>
    </row>
    <row r="313" ht="15.75" customHeight="1">
      <c r="C313" s="62"/>
    </row>
    <row r="314" ht="15.75" customHeight="1">
      <c r="C314" s="62"/>
    </row>
    <row r="315" ht="15.75" customHeight="1">
      <c r="C315" s="62"/>
    </row>
    <row r="316" ht="15.75" customHeight="1">
      <c r="C316" s="62"/>
    </row>
    <row r="317" ht="15.75" customHeight="1">
      <c r="C317" s="62"/>
    </row>
    <row r="318" ht="15.75" customHeight="1">
      <c r="C318" s="62"/>
    </row>
    <row r="319" ht="15.75" customHeight="1">
      <c r="C319" s="62"/>
    </row>
    <row r="320" ht="15.75" customHeight="1">
      <c r="C320" s="62"/>
    </row>
    <row r="321" ht="15.75" customHeight="1">
      <c r="C321" s="62"/>
    </row>
    <row r="322" ht="15.75" customHeight="1">
      <c r="C322" s="62"/>
    </row>
    <row r="323" ht="15.75" customHeight="1">
      <c r="C323" s="62"/>
    </row>
    <row r="324" ht="15.75" customHeight="1">
      <c r="C324" s="62"/>
    </row>
    <row r="325" ht="15.75" customHeight="1">
      <c r="C325" s="62"/>
    </row>
    <row r="326" ht="15.75" customHeight="1">
      <c r="C326" s="62"/>
    </row>
    <row r="327" ht="15.75" customHeight="1">
      <c r="C327" s="62"/>
    </row>
    <row r="328" ht="15.75" customHeight="1">
      <c r="C328" s="62"/>
    </row>
    <row r="329" ht="15.75" customHeight="1">
      <c r="C329" s="62"/>
    </row>
    <row r="330" ht="15.75" customHeight="1">
      <c r="C330" s="62"/>
    </row>
    <row r="331" ht="15.75" customHeight="1">
      <c r="C331" s="62"/>
    </row>
    <row r="332" ht="15.75" customHeight="1">
      <c r="C332" s="62"/>
    </row>
    <row r="333" ht="15.75" customHeight="1">
      <c r="C333" s="62"/>
    </row>
    <row r="334" ht="15.75" customHeight="1">
      <c r="C334" s="62"/>
    </row>
    <row r="335" ht="15.75" customHeight="1">
      <c r="C335" s="62"/>
    </row>
    <row r="336" ht="15.75" customHeight="1">
      <c r="C336" s="62"/>
    </row>
    <row r="337" ht="15.75" customHeight="1">
      <c r="C337" s="62"/>
    </row>
    <row r="338" ht="15.75" customHeight="1">
      <c r="C338" s="62"/>
    </row>
    <row r="339" ht="15.75" customHeight="1">
      <c r="C339" s="62"/>
    </row>
    <row r="340" ht="15.75" customHeight="1">
      <c r="C340" s="62"/>
    </row>
    <row r="341" ht="15.75" customHeight="1">
      <c r="C341" s="62"/>
    </row>
    <row r="342" ht="15.75" customHeight="1">
      <c r="C342" s="62"/>
    </row>
    <row r="343" ht="15.75" customHeight="1">
      <c r="C343" s="62"/>
    </row>
    <row r="344" ht="15.75" customHeight="1">
      <c r="C344" s="62"/>
    </row>
    <row r="345" ht="15.75" customHeight="1">
      <c r="C345" s="62"/>
    </row>
    <row r="346" ht="15.75" customHeight="1">
      <c r="C346" s="62"/>
    </row>
    <row r="347" ht="15.75" customHeight="1">
      <c r="C347" s="62"/>
    </row>
    <row r="348" ht="15.75" customHeight="1">
      <c r="C348" s="62"/>
    </row>
    <row r="349" ht="15.75" customHeight="1">
      <c r="C349" s="62"/>
    </row>
    <row r="350" ht="15.75" customHeight="1">
      <c r="C350" s="62"/>
    </row>
    <row r="351" ht="15.75" customHeight="1">
      <c r="C351" s="62"/>
    </row>
    <row r="352" ht="15.75" customHeight="1">
      <c r="C352" s="62"/>
    </row>
    <row r="353" ht="15.75" customHeight="1">
      <c r="C353" s="62"/>
    </row>
    <row r="354" ht="15.75" customHeight="1">
      <c r="C354" s="62"/>
    </row>
    <row r="355" ht="15.75" customHeight="1">
      <c r="C355" s="62"/>
    </row>
    <row r="356" ht="15.75" customHeight="1">
      <c r="C356" s="62"/>
    </row>
    <row r="357" ht="15.75" customHeight="1">
      <c r="C357" s="62"/>
    </row>
    <row r="358" ht="15.75" customHeight="1">
      <c r="C358" s="62"/>
    </row>
    <row r="359" ht="15.75" customHeight="1">
      <c r="C359" s="62"/>
    </row>
    <row r="360" ht="15.75" customHeight="1">
      <c r="C360" s="62"/>
    </row>
    <row r="361" ht="15.75" customHeight="1">
      <c r="C361" s="62"/>
    </row>
    <row r="362" ht="15.75" customHeight="1">
      <c r="C362" s="62"/>
    </row>
    <row r="363" ht="15.75" customHeight="1">
      <c r="C363" s="62"/>
    </row>
    <row r="364" ht="15.75" customHeight="1">
      <c r="C364" s="62"/>
    </row>
    <row r="365" ht="15.75" customHeight="1">
      <c r="C365" s="62"/>
    </row>
    <row r="366" ht="15.75" customHeight="1">
      <c r="C366" s="62"/>
    </row>
    <row r="367" ht="15.75" customHeight="1">
      <c r="C367" s="62"/>
    </row>
    <row r="368" ht="15.75" customHeight="1">
      <c r="C368" s="62"/>
    </row>
    <row r="369" ht="15.75" customHeight="1">
      <c r="C369" s="62"/>
    </row>
    <row r="370" ht="15.75" customHeight="1">
      <c r="C370" s="62"/>
    </row>
    <row r="371" ht="15.75" customHeight="1">
      <c r="C371" s="62"/>
    </row>
    <row r="372" ht="15.75" customHeight="1">
      <c r="C372" s="62"/>
    </row>
    <row r="373" ht="15.75" customHeight="1">
      <c r="C373" s="62"/>
    </row>
    <row r="374" ht="15.75" customHeight="1">
      <c r="C374" s="62"/>
    </row>
    <row r="375" ht="15.75" customHeight="1">
      <c r="C375" s="62"/>
    </row>
    <row r="376" ht="15.75" customHeight="1">
      <c r="C376" s="62"/>
    </row>
    <row r="377" ht="15.75" customHeight="1">
      <c r="C377" s="62"/>
    </row>
    <row r="378" ht="15.75" customHeight="1">
      <c r="C378" s="62"/>
    </row>
    <row r="379" ht="15.75" customHeight="1">
      <c r="C379" s="62"/>
    </row>
    <row r="380" ht="15.75" customHeight="1">
      <c r="C380" s="62"/>
    </row>
    <row r="381" ht="15.75" customHeight="1">
      <c r="C381" s="62"/>
    </row>
    <row r="382" ht="15.75" customHeight="1">
      <c r="C382" s="62"/>
    </row>
    <row r="383" ht="15.75" customHeight="1">
      <c r="C383" s="62"/>
    </row>
    <row r="384" ht="15.75" customHeight="1">
      <c r="C384" s="62"/>
    </row>
    <row r="385" ht="15.75" customHeight="1">
      <c r="C385" s="62"/>
    </row>
    <row r="386" ht="15.75" customHeight="1">
      <c r="C386" s="62"/>
    </row>
    <row r="387" ht="15.75" customHeight="1">
      <c r="C387" s="62"/>
    </row>
    <row r="388" ht="15.75" customHeight="1">
      <c r="C388" s="62"/>
    </row>
    <row r="389" ht="15.75" customHeight="1">
      <c r="C389" s="62"/>
    </row>
    <row r="390" ht="15.75" customHeight="1">
      <c r="C390" s="62"/>
    </row>
    <row r="391" ht="15.75" customHeight="1">
      <c r="C391" s="62"/>
    </row>
    <row r="392" ht="15.75" customHeight="1">
      <c r="C392" s="62"/>
    </row>
    <row r="393" ht="15.75" customHeight="1">
      <c r="C393" s="62"/>
    </row>
    <row r="394" ht="15.75" customHeight="1">
      <c r="C394" s="62"/>
    </row>
    <row r="395" ht="15.75" customHeight="1">
      <c r="C395" s="62"/>
    </row>
    <row r="396" ht="15.75" customHeight="1">
      <c r="C396" s="62"/>
    </row>
    <row r="397" ht="15.75" customHeight="1">
      <c r="C397" s="62"/>
    </row>
    <row r="398" ht="15.75" customHeight="1">
      <c r="C398" s="62"/>
    </row>
    <row r="399" ht="15.75" customHeight="1">
      <c r="C399" s="62"/>
    </row>
    <row r="400" ht="15.75" customHeight="1">
      <c r="C400" s="62"/>
    </row>
    <row r="401" ht="15.75" customHeight="1">
      <c r="C401" s="62"/>
    </row>
    <row r="402" ht="15.75" customHeight="1">
      <c r="C402" s="62"/>
    </row>
    <row r="403" ht="15.75" customHeight="1">
      <c r="C403" s="62"/>
    </row>
    <row r="404" ht="15.75" customHeight="1">
      <c r="C404" s="62"/>
    </row>
    <row r="405" ht="15.75" customHeight="1">
      <c r="C405" s="62"/>
    </row>
    <row r="406" ht="15.75" customHeight="1">
      <c r="C406" s="62"/>
    </row>
    <row r="407" ht="15.75" customHeight="1">
      <c r="C407" s="62"/>
    </row>
    <row r="408" ht="15.75" customHeight="1">
      <c r="C408" s="62"/>
    </row>
    <row r="409" ht="15.75" customHeight="1">
      <c r="C409" s="62"/>
    </row>
    <row r="410" ht="15.75" customHeight="1">
      <c r="C410" s="62"/>
    </row>
    <row r="411" ht="15.75" customHeight="1">
      <c r="C411" s="62"/>
    </row>
    <row r="412" ht="15.75" customHeight="1">
      <c r="C412" s="62"/>
    </row>
    <row r="413" ht="15.75" customHeight="1">
      <c r="C413" s="62"/>
    </row>
    <row r="414" ht="15.75" customHeight="1">
      <c r="C414" s="62"/>
    </row>
    <row r="415" ht="15.75" customHeight="1">
      <c r="C415" s="62"/>
    </row>
    <row r="416" ht="15.75" customHeight="1">
      <c r="C416" s="62"/>
    </row>
    <row r="417" ht="15.75" customHeight="1">
      <c r="C417" s="62"/>
    </row>
    <row r="418" ht="15.75" customHeight="1">
      <c r="C418" s="62"/>
    </row>
    <row r="419" ht="15.75" customHeight="1">
      <c r="C419" s="62"/>
    </row>
    <row r="420" ht="15.75" customHeight="1">
      <c r="C420" s="62"/>
    </row>
    <row r="421" ht="15.75" customHeight="1">
      <c r="C421" s="62"/>
    </row>
    <row r="422" ht="15.75" customHeight="1">
      <c r="C422" s="62"/>
    </row>
    <row r="423" ht="15.75" customHeight="1">
      <c r="C423" s="62"/>
    </row>
    <row r="424" ht="15.75" customHeight="1">
      <c r="C424" s="62"/>
    </row>
    <row r="425" ht="15.75" customHeight="1">
      <c r="C425" s="62"/>
    </row>
    <row r="426" ht="15.75" customHeight="1">
      <c r="C426" s="62"/>
    </row>
    <row r="427" ht="15.75" customHeight="1">
      <c r="C427" s="62"/>
    </row>
    <row r="428" ht="15.75" customHeight="1">
      <c r="C428" s="62"/>
    </row>
    <row r="429" ht="15.75" customHeight="1">
      <c r="C429" s="62"/>
    </row>
    <row r="430" ht="15.75" customHeight="1">
      <c r="C430" s="62"/>
    </row>
    <row r="431" ht="15.75" customHeight="1">
      <c r="C431" s="62"/>
    </row>
    <row r="432" ht="15.75" customHeight="1">
      <c r="C432" s="62"/>
    </row>
    <row r="433" ht="15.75" customHeight="1">
      <c r="C433" s="62"/>
    </row>
    <row r="434" ht="15.75" customHeight="1">
      <c r="C434" s="62"/>
    </row>
    <row r="435" ht="15.75" customHeight="1">
      <c r="C435" s="62"/>
    </row>
    <row r="436" ht="15.75" customHeight="1">
      <c r="C436" s="62"/>
    </row>
    <row r="437" ht="15.75" customHeight="1">
      <c r="C437" s="62"/>
    </row>
    <row r="438" ht="15.75" customHeight="1">
      <c r="C438" s="62"/>
    </row>
    <row r="439" ht="15.75" customHeight="1">
      <c r="C439" s="62"/>
    </row>
    <row r="440" ht="15.75" customHeight="1">
      <c r="C440" s="62"/>
    </row>
    <row r="441" ht="15.75" customHeight="1">
      <c r="C441" s="62"/>
    </row>
    <row r="442" ht="15.75" customHeight="1">
      <c r="C442" s="62"/>
    </row>
    <row r="443" ht="15.75" customHeight="1">
      <c r="C443" s="62"/>
    </row>
    <row r="444" ht="15.75" customHeight="1">
      <c r="C444" s="62"/>
    </row>
    <row r="445" ht="15.75" customHeight="1">
      <c r="C445" s="62"/>
    </row>
    <row r="446" ht="15.75" customHeight="1">
      <c r="C446" s="62"/>
    </row>
    <row r="447" ht="15.75" customHeight="1">
      <c r="C447" s="62"/>
    </row>
    <row r="448" ht="15.75" customHeight="1">
      <c r="C448" s="62"/>
    </row>
    <row r="449" ht="15.75" customHeight="1">
      <c r="C449" s="62"/>
    </row>
    <row r="450" ht="15.75" customHeight="1">
      <c r="C450" s="62"/>
    </row>
    <row r="451" ht="15.75" customHeight="1">
      <c r="C451" s="62"/>
    </row>
    <row r="452" ht="15.75" customHeight="1">
      <c r="C452" s="62"/>
    </row>
    <row r="453" ht="15.75" customHeight="1">
      <c r="C453" s="62"/>
    </row>
    <row r="454" ht="15.75" customHeight="1">
      <c r="C454" s="62"/>
    </row>
    <row r="455" ht="15.75" customHeight="1">
      <c r="C455" s="62"/>
    </row>
    <row r="456" ht="15.75" customHeight="1">
      <c r="C456" s="62"/>
    </row>
    <row r="457" ht="15.75" customHeight="1">
      <c r="C457" s="62"/>
    </row>
    <row r="458" ht="15.75" customHeight="1">
      <c r="C458" s="62"/>
    </row>
    <row r="459" ht="15.75" customHeight="1">
      <c r="C459" s="62"/>
    </row>
    <row r="460" ht="15.75" customHeight="1">
      <c r="C460" s="62"/>
    </row>
    <row r="461" ht="15.75" customHeight="1">
      <c r="C461" s="62"/>
    </row>
    <row r="462" ht="15.75" customHeight="1">
      <c r="C462" s="62"/>
    </row>
    <row r="463" ht="15.75" customHeight="1">
      <c r="C463" s="62"/>
    </row>
    <row r="464" ht="15.75" customHeight="1">
      <c r="C464" s="62"/>
    </row>
    <row r="465" ht="15.75" customHeight="1">
      <c r="C465" s="62"/>
    </row>
    <row r="466" ht="15.75" customHeight="1">
      <c r="C466" s="62"/>
    </row>
    <row r="467" ht="15.75" customHeight="1">
      <c r="C467" s="62"/>
    </row>
    <row r="468" ht="15.75" customHeight="1">
      <c r="C468" s="62"/>
    </row>
    <row r="469" ht="15.75" customHeight="1">
      <c r="C469" s="62"/>
    </row>
    <row r="470" ht="15.75" customHeight="1">
      <c r="C470" s="62"/>
    </row>
    <row r="471" ht="15.75" customHeight="1">
      <c r="C471" s="62"/>
    </row>
    <row r="472" ht="15.75" customHeight="1">
      <c r="C472" s="62"/>
    </row>
    <row r="473" ht="15.75" customHeight="1">
      <c r="C473" s="62"/>
    </row>
    <row r="474" ht="15.75" customHeight="1">
      <c r="C474" s="62"/>
    </row>
    <row r="475" ht="15.75" customHeight="1">
      <c r="C475" s="62"/>
    </row>
    <row r="476" ht="15.75" customHeight="1">
      <c r="C476" s="62"/>
    </row>
    <row r="477" ht="15.75" customHeight="1">
      <c r="C477" s="62"/>
    </row>
    <row r="478" ht="15.75" customHeight="1">
      <c r="C478" s="62"/>
    </row>
    <row r="479" ht="15.75" customHeight="1">
      <c r="C479" s="62"/>
    </row>
    <row r="480" ht="15.75" customHeight="1">
      <c r="C480" s="62"/>
    </row>
    <row r="481" ht="15.75" customHeight="1">
      <c r="C481" s="62"/>
    </row>
    <row r="482" ht="15.75" customHeight="1">
      <c r="C482" s="62"/>
    </row>
    <row r="483" ht="15.75" customHeight="1">
      <c r="C483" s="62"/>
    </row>
    <row r="484" ht="15.75" customHeight="1">
      <c r="C484" s="62"/>
    </row>
    <row r="485" ht="15.75" customHeight="1">
      <c r="C485" s="62"/>
    </row>
    <row r="486" ht="15.75" customHeight="1">
      <c r="C486" s="62"/>
    </row>
    <row r="487" ht="15.75" customHeight="1">
      <c r="C487" s="62"/>
    </row>
    <row r="488" ht="15.75" customHeight="1">
      <c r="C488" s="62"/>
    </row>
    <row r="489" ht="15.75" customHeight="1">
      <c r="C489" s="62"/>
    </row>
    <row r="490" ht="15.75" customHeight="1">
      <c r="C490" s="62"/>
    </row>
    <row r="491" ht="15.75" customHeight="1">
      <c r="C491" s="62"/>
    </row>
    <row r="492" ht="15.75" customHeight="1">
      <c r="C492" s="62"/>
    </row>
    <row r="493" ht="15.75" customHeight="1">
      <c r="C493" s="62"/>
    </row>
    <row r="494" ht="15.75" customHeight="1">
      <c r="C494" s="62"/>
    </row>
    <row r="495" ht="15.75" customHeight="1">
      <c r="C495" s="62"/>
    </row>
    <row r="496" ht="15.75" customHeight="1">
      <c r="C496" s="62"/>
    </row>
    <row r="497" ht="15.75" customHeight="1">
      <c r="C497" s="62"/>
    </row>
    <row r="498" ht="15.75" customHeight="1">
      <c r="C498" s="62"/>
    </row>
    <row r="499" ht="15.75" customHeight="1">
      <c r="C499" s="62"/>
    </row>
    <row r="500" ht="15.75" customHeight="1">
      <c r="C500" s="62"/>
    </row>
    <row r="501" ht="15.75" customHeight="1">
      <c r="C501" s="62"/>
    </row>
    <row r="502" ht="15.75" customHeight="1">
      <c r="C502" s="62"/>
    </row>
    <row r="503" ht="15.75" customHeight="1">
      <c r="C503" s="62"/>
    </row>
    <row r="504" ht="15.75" customHeight="1">
      <c r="C504" s="62"/>
    </row>
    <row r="505" ht="15.75" customHeight="1">
      <c r="C505" s="62"/>
    </row>
    <row r="506" ht="15.75" customHeight="1">
      <c r="C506" s="62"/>
    </row>
    <row r="507" ht="15.75" customHeight="1">
      <c r="C507" s="62"/>
    </row>
    <row r="508" ht="15.75" customHeight="1">
      <c r="C508" s="62"/>
    </row>
    <row r="509" ht="15.75" customHeight="1">
      <c r="C509" s="62"/>
    </row>
    <row r="510" ht="15.75" customHeight="1">
      <c r="C510" s="62"/>
    </row>
    <row r="511" ht="15.75" customHeight="1">
      <c r="C511" s="62"/>
    </row>
    <row r="512" ht="15.75" customHeight="1">
      <c r="C512" s="62"/>
    </row>
    <row r="513" ht="15.75" customHeight="1">
      <c r="C513" s="62"/>
    </row>
    <row r="514" ht="15.75" customHeight="1">
      <c r="C514" s="62"/>
    </row>
    <row r="515" ht="15.75" customHeight="1">
      <c r="C515" s="62"/>
    </row>
    <row r="516" ht="15.75" customHeight="1">
      <c r="C516" s="62"/>
    </row>
    <row r="517" ht="15.75" customHeight="1">
      <c r="C517" s="62"/>
    </row>
    <row r="518" ht="15.75" customHeight="1">
      <c r="C518" s="62"/>
    </row>
    <row r="519" ht="15.75" customHeight="1">
      <c r="C519" s="62"/>
    </row>
    <row r="520" ht="15.75" customHeight="1">
      <c r="C520" s="62"/>
    </row>
    <row r="521" ht="15.75" customHeight="1">
      <c r="C521" s="62"/>
    </row>
    <row r="522" ht="15.75" customHeight="1">
      <c r="C522" s="62"/>
    </row>
    <row r="523" ht="15.75" customHeight="1">
      <c r="C523" s="62"/>
    </row>
    <row r="524" ht="15.75" customHeight="1">
      <c r="C524" s="62"/>
    </row>
    <row r="525" ht="15.75" customHeight="1">
      <c r="C525" s="62"/>
    </row>
    <row r="526" ht="15.75" customHeight="1">
      <c r="C526" s="62"/>
    </row>
    <row r="527" ht="15.75" customHeight="1">
      <c r="C527" s="62"/>
    </row>
    <row r="528" ht="15.75" customHeight="1">
      <c r="C528" s="62"/>
    </row>
    <row r="529" ht="15.75" customHeight="1">
      <c r="C529" s="62"/>
    </row>
    <row r="530" ht="15.75" customHeight="1">
      <c r="C530" s="62"/>
    </row>
    <row r="531" ht="15.75" customHeight="1">
      <c r="C531" s="62"/>
    </row>
    <row r="532" ht="15.75" customHeight="1">
      <c r="C532" s="62"/>
    </row>
    <row r="533" ht="15.75" customHeight="1">
      <c r="C533" s="62"/>
    </row>
    <row r="534" ht="15.75" customHeight="1">
      <c r="C534" s="62"/>
    </row>
    <row r="535" ht="15.75" customHeight="1">
      <c r="C535" s="62"/>
    </row>
    <row r="536" ht="15.75" customHeight="1">
      <c r="C536" s="62"/>
    </row>
    <row r="537" ht="15.75" customHeight="1">
      <c r="C537" s="62"/>
    </row>
    <row r="538" ht="15.75" customHeight="1">
      <c r="C538" s="62"/>
    </row>
    <row r="539" ht="15.75" customHeight="1">
      <c r="C539" s="62"/>
    </row>
    <row r="540" ht="15.75" customHeight="1">
      <c r="C540" s="62"/>
    </row>
    <row r="541" ht="15.75" customHeight="1">
      <c r="C541" s="62"/>
    </row>
    <row r="542" ht="15.75" customHeight="1">
      <c r="C542" s="62"/>
    </row>
    <row r="543" ht="15.75" customHeight="1">
      <c r="C543" s="62"/>
    </row>
    <row r="544" ht="15.75" customHeight="1">
      <c r="C544" s="62"/>
    </row>
    <row r="545" ht="15.75" customHeight="1">
      <c r="C545" s="62"/>
    </row>
    <row r="546" ht="15.75" customHeight="1">
      <c r="C546" s="62"/>
    </row>
    <row r="547" ht="15.75" customHeight="1">
      <c r="C547" s="62"/>
    </row>
    <row r="548" ht="15.75" customHeight="1">
      <c r="C548" s="62"/>
    </row>
    <row r="549" ht="15.75" customHeight="1">
      <c r="C549" s="62"/>
    </row>
    <row r="550" ht="15.75" customHeight="1">
      <c r="C550" s="62"/>
    </row>
    <row r="551" ht="15.75" customHeight="1">
      <c r="C551" s="62"/>
    </row>
    <row r="552" ht="15.75" customHeight="1">
      <c r="C552" s="62"/>
    </row>
    <row r="553" ht="15.75" customHeight="1">
      <c r="C553" s="62"/>
    </row>
    <row r="554" ht="15.75" customHeight="1">
      <c r="C554" s="62"/>
    </row>
    <row r="555" ht="15.75" customHeight="1">
      <c r="C555" s="62"/>
    </row>
    <row r="556" ht="15.75" customHeight="1">
      <c r="C556" s="62"/>
    </row>
    <row r="557" ht="15.75" customHeight="1">
      <c r="C557" s="62"/>
    </row>
    <row r="558" ht="15.75" customHeight="1">
      <c r="C558" s="62"/>
    </row>
    <row r="559" ht="15.75" customHeight="1">
      <c r="C559" s="62"/>
    </row>
    <row r="560" ht="15.75" customHeight="1">
      <c r="C560" s="62"/>
    </row>
    <row r="561" ht="15.75" customHeight="1">
      <c r="C561" s="62"/>
    </row>
    <row r="562" ht="15.75" customHeight="1">
      <c r="C562" s="62"/>
    </row>
    <row r="563" ht="15.75" customHeight="1">
      <c r="C563" s="62"/>
    </row>
    <row r="564" ht="15.75" customHeight="1">
      <c r="C564" s="62"/>
    </row>
    <row r="565" ht="15.75" customHeight="1">
      <c r="C565" s="62"/>
    </row>
    <row r="566" ht="15.75" customHeight="1">
      <c r="C566" s="62"/>
    </row>
    <row r="567" ht="15.75" customHeight="1">
      <c r="C567" s="62"/>
    </row>
    <row r="568" ht="15.75" customHeight="1">
      <c r="C568" s="62"/>
    </row>
    <row r="569" ht="15.75" customHeight="1">
      <c r="C569" s="62"/>
    </row>
    <row r="570" ht="15.75" customHeight="1">
      <c r="C570" s="62"/>
    </row>
    <row r="571" ht="15.75" customHeight="1">
      <c r="C571" s="62"/>
    </row>
    <row r="572" ht="15.75" customHeight="1">
      <c r="C572" s="62"/>
    </row>
    <row r="573" ht="15.75" customHeight="1">
      <c r="C573" s="62"/>
    </row>
    <row r="574" ht="15.75" customHeight="1">
      <c r="C574" s="62"/>
    </row>
    <row r="575" ht="15.75" customHeight="1">
      <c r="C575" s="62"/>
    </row>
    <row r="576" ht="15.75" customHeight="1">
      <c r="C576" s="62"/>
    </row>
    <row r="577" ht="15.75" customHeight="1">
      <c r="C577" s="62"/>
    </row>
    <row r="578" ht="15.75" customHeight="1">
      <c r="C578" s="62"/>
    </row>
    <row r="579" ht="15.75" customHeight="1">
      <c r="C579" s="62"/>
    </row>
    <row r="580" ht="15.75" customHeight="1">
      <c r="C580" s="62"/>
    </row>
    <row r="581" ht="15.75" customHeight="1">
      <c r="C581" s="62"/>
    </row>
    <row r="582" ht="15.75" customHeight="1">
      <c r="C582" s="62"/>
    </row>
    <row r="583" ht="15.75" customHeight="1">
      <c r="C583" s="62"/>
    </row>
    <row r="584" ht="15.75" customHeight="1">
      <c r="C584" s="62"/>
    </row>
    <row r="585" ht="15.75" customHeight="1">
      <c r="C585" s="62"/>
    </row>
    <row r="586" ht="15.75" customHeight="1">
      <c r="C586" s="62"/>
    </row>
    <row r="587" ht="15.75" customHeight="1">
      <c r="C587" s="62"/>
    </row>
    <row r="588" ht="15.75" customHeight="1">
      <c r="C588" s="62"/>
    </row>
    <row r="589" ht="15.75" customHeight="1">
      <c r="C589" s="62"/>
    </row>
    <row r="590" ht="15.75" customHeight="1">
      <c r="C590" s="62"/>
    </row>
    <row r="591" ht="15.75" customHeight="1">
      <c r="C591" s="62"/>
    </row>
    <row r="592" ht="15.75" customHeight="1">
      <c r="C592" s="62"/>
    </row>
    <row r="593" ht="15.75" customHeight="1">
      <c r="C593" s="62"/>
    </row>
    <row r="594" ht="15.75" customHeight="1">
      <c r="C594" s="62"/>
    </row>
    <row r="595" ht="15.75" customHeight="1">
      <c r="C595" s="62"/>
    </row>
    <row r="596" ht="15.75" customHeight="1">
      <c r="C596" s="62"/>
    </row>
    <row r="597" ht="15.75" customHeight="1">
      <c r="C597" s="62"/>
    </row>
    <row r="598" ht="15.75" customHeight="1">
      <c r="C598" s="62"/>
    </row>
    <row r="599" ht="15.75" customHeight="1">
      <c r="C599" s="62"/>
    </row>
    <row r="600" ht="15.75" customHeight="1">
      <c r="C600" s="62"/>
    </row>
    <row r="601" ht="15.75" customHeight="1">
      <c r="C601" s="62"/>
    </row>
    <row r="602" ht="15.75" customHeight="1">
      <c r="C602" s="62"/>
    </row>
    <row r="603" ht="15.75" customHeight="1">
      <c r="C603" s="62"/>
    </row>
    <row r="604" ht="15.75" customHeight="1">
      <c r="C604" s="62"/>
    </row>
    <row r="605" ht="15.75" customHeight="1">
      <c r="C605" s="62"/>
    </row>
    <row r="606" ht="15.75" customHeight="1">
      <c r="C606" s="62"/>
    </row>
    <row r="607" ht="15.75" customHeight="1">
      <c r="C607" s="62"/>
    </row>
    <row r="608" ht="15.75" customHeight="1">
      <c r="C608" s="62"/>
    </row>
    <row r="609" ht="15.75" customHeight="1">
      <c r="C609" s="62"/>
    </row>
    <row r="610" ht="15.75" customHeight="1">
      <c r="C610" s="62"/>
    </row>
    <row r="611" ht="15.75" customHeight="1">
      <c r="C611" s="62"/>
    </row>
    <row r="612" ht="15.75" customHeight="1">
      <c r="C612" s="62"/>
    </row>
    <row r="613" ht="15.75" customHeight="1">
      <c r="C613" s="62"/>
    </row>
    <row r="614" ht="15.75" customHeight="1">
      <c r="C614" s="62"/>
    </row>
    <row r="615" ht="15.75" customHeight="1">
      <c r="C615" s="62"/>
    </row>
    <row r="616" ht="15.75" customHeight="1">
      <c r="C616" s="62"/>
    </row>
    <row r="617" ht="15.75" customHeight="1">
      <c r="C617" s="62"/>
    </row>
    <row r="618" ht="15.75" customHeight="1">
      <c r="C618" s="62"/>
    </row>
    <row r="619" ht="15.75" customHeight="1">
      <c r="C619" s="62"/>
    </row>
    <row r="620" ht="15.75" customHeight="1">
      <c r="C620" s="62"/>
    </row>
    <row r="621" ht="15.75" customHeight="1">
      <c r="C621" s="62"/>
    </row>
    <row r="622" ht="15.75" customHeight="1">
      <c r="C622" s="62"/>
    </row>
    <row r="623" ht="15.75" customHeight="1">
      <c r="C623" s="62"/>
    </row>
    <row r="624" ht="15.75" customHeight="1">
      <c r="C624" s="62"/>
    </row>
    <row r="625" ht="15.75" customHeight="1">
      <c r="C625" s="62"/>
    </row>
    <row r="626" ht="15.75" customHeight="1">
      <c r="C626" s="62"/>
    </row>
    <row r="627" ht="15.75" customHeight="1">
      <c r="C627" s="62"/>
    </row>
    <row r="628" ht="15.75" customHeight="1">
      <c r="C628" s="62"/>
    </row>
    <row r="629" ht="15.75" customHeight="1">
      <c r="C629" s="62"/>
    </row>
    <row r="630" ht="15.75" customHeight="1">
      <c r="C630" s="62"/>
    </row>
    <row r="631" ht="15.75" customHeight="1">
      <c r="C631" s="62"/>
    </row>
    <row r="632" ht="15.75" customHeight="1">
      <c r="C632" s="62"/>
    </row>
    <row r="633" ht="15.75" customHeight="1">
      <c r="C633" s="62"/>
    </row>
    <row r="634" ht="15.75" customHeight="1">
      <c r="C634" s="62"/>
    </row>
    <row r="635" ht="15.75" customHeight="1">
      <c r="C635" s="62"/>
    </row>
    <row r="636" ht="15.75" customHeight="1">
      <c r="C636" s="62"/>
    </row>
    <row r="637" ht="15.75" customHeight="1">
      <c r="C637" s="62"/>
    </row>
    <row r="638" ht="15.75" customHeight="1">
      <c r="C638" s="62"/>
    </row>
    <row r="639" ht="15.75" customHeight="1">
      <c r="C639" s="62"/>
    </row>
    <row r="640" ht="15.75" customHeight="1">
      <c r="C640" s="62"/>
    </row>
    <row r="641" ht="15.75" customHeight="1">
      <c r="C641" s="62"/>
    </row>
    <row r="642" ht="15.75" customHeight="1">
      <c r="C642" s="62"/>
    </row>
    <row r="643" ht="15.75" customHeight="1">
      <c r="C643" s="62"/>
    </row>
    <row r="644" ht="15.75" customHeight="1">
      <c r="C644" s="62"/>
    </row>
    <row r="645" ht="15.75" customHeight="1">
      <c r="C645" s="62"/>
    </row>
    <row r="646" ht="15.75" customHeight="1">
      <c r="C646" s="62"/>
    </row>
    <row r="647" ht="15.75" customHeight="1">
      <c r="C647" s="62"/>
    </row>
    <row r="648" ht="15.75" customHeight="1">
      <c r="C648" s="62"/>
    </row>
    <row r="649" ht="15.75" customHeight="1">
      <c r="C649" s="62"/>
    </row>
    <row r="650" ht="15.75" customHeight="1">
      <c r="C650" s="62"/>
    </row>
    <row r="651" ht="15.75" customHeight="1">
      <c r="C651" s="62"/>
    </row>
    <row r="652" ht="15.75" customHeight="1">
      <c r="C652" s="62"/>
    </row>
    <row r="653" ht="15.75" customHeight="1">
      <c r="C653" s="62"/>
    </row>
    <row r="654" ht="15.75" customHeight="1">
      <c r="C654" s="62"/>
    </row>
    <row r="655" ht="15.75" customHeight="1">
      <c r="C655" s="62"/>
    </row>
    <row r="656" ht="15.75" customHeight="1">
      <c r="C656" s="62"/>
    </row>
    <row r="657" ht="15.75" customHeight="1">
      <c r="C657" s="62"/>
    </row>
    <row r="658" ht="15.75" customHeight="1">
      <c r="C658" s="62"/>
    </row>
    <row r="659" ht="15.75" customHeight="1">
      <c r="C659" s="62"/>
    </row>
    <row r="660" ht="15.75" customHeight="1">
      <c r="C660" s="62"/>
    </row>
    <row r="661" ht="15.75" customHeight="1">
      <c r="C661" s="62"/>
    </row>
    <row r="662" ht="15.75" customHeight="1">
      <c r="C662" s="62"/>
    </row>
    <row r="663" ht="15.75" customHeight="1">
      <c r="C663" s="62"/>
    </row>
    <row r="664" ht="15.75" customHeight="1">
      <c r="C664" s="62"/>
    </row>
    <row r="665" ht="15.75" customHeight="1">
      <c r="C665" s="62"/>
    </row>
    <row r="666" ht="15.75" customHeight="1">
      <c r="C666" s="62"/>
    </row>
    <row r="667" ht="15.75" customHeight="1">
      <c r="C667" s="62"/>
    </row>
    <row r="668" ht="15.75" customHeight="1">
      <c r="C668" s="62"/>
    </row>
    <row r="669" ht="15.75" customHeight="1">
      <c r="C669" s="62"/>
    </row>
    <row r="670" ht="15.75" customHeight="1">
      <c r="C670" s="62"/>
    </row>
    <row r="671" ht="15.75" customHeight="1">
      <c r="C671" s="62"/>
    </row>
    <row r="672" ht="15.75" customHeight="1">
      <c r="C672" s="62"/>
    </row>
    <row r="673" ht="15.75" customHeight="1">
      <c r="C673" s="62"/>
    </row>
    <row r="674" ht="15.75" customHeight="1">
      <c r="C674" s="62"/>
    </row>
    <row r="675" ht="15.75" customHeight="1">
      <c r="C675" s="62"/>
    </row>
    <row r="676" ht="15.75" customHeight="1">
      <c r="C676" s="62"/>
    </row>
    <row r="677" ht="15.75" customHeight="1">
      <c r="C677" s="62"/>
    </row>
    <row r="678" ht="15.75" customHeight="1">
      <c r="C678" s="62"/>
    </row>
    <row r="679" ht="15.75" customHeight="1">
      <c r="C679" s="62"/>
    </row>
    <row r="680" ht="15.75" customHeight="1">
      <c r="C680" s="62"/>
    </row>
    <row r="681" ht="15.75" customHeight="1">
      <c r="C681" s="62"/>
    </row>
    <row r="682" ht="15.75" customHeight="1">
      <c r="C682" s="62"/>
    </row>
    <row r="683" ht="15.75" customHeight="1">
      <c r="C683" s="62"/>
    </row>
    <row r="684" ht="15.75" customHeight="1">
      <c r="C684" s="62"/>
    </row>
    <row r="685" ht="15.75" customHeight="1">
      <c r="C685" s="62"/>
    </row>
    <row r="686" ht="15.75" customHeight="1">
      <c r="C686" s="62"/>
    </row>
    <row r="687" ht="15.75" customHeight="1">
      <c r="C687" s="62"/>
    </row>
    <row r="688" ht="15.75" customHeight="1">
      <c r="C688" s="62"/>
    </row>
    <row r="689" ht="15.75" customHeight="1">
      <c r="C689" s="62"/>
    </row>
    <row r="690" ht="15.75" customHeight="1">
      <c r="C690" s="62"/>
    </row>
    <row r="691" ht="15.75" customHeight="1">
      <c r="C691" s="62"/>
    </row>
    <row r="692" ht="15.75" customHeight="1">
      <c r="C692" s="62"/>
    </row>
    <row r="693" ht="15.75" customHeight="1">
      <c r="C693" s="62"/>
    </row>
    <row r="694" ht="15.75" customHeight="1">
      <c r="C694" s="62"/>
    </row>
    <row r="695" ht="15.75" customHeight="1">
      <c r="C695" s="62"/>
    </row>
    <row r="696" ht="15.75" customHeight="1">
      <c r="C696" s="62"/>
    </row>
    <row r="697" ht="15.75" customHeight="1">
      <c r="C697" s="62"/>
    </row>
    <row r="698" ht="15.75" customHeight="1">
      <c r="C698" s="62"/>
    </row>
    <row r="699" ht="15.75" customHeight="1">
      <c r="C699" s="62"/>
    </row>
    <row r="700" ht="15.75" customHeight="1">
      <c r="C700" s="62"/>
    </row>
    <row r="701" ht="15.75" customHeight="1">
      <c r="C701" s="62"/>
    </row>
    <row r="702" ht="15.75" customHeight="1">
      <c r="C702" s="62"/>
    </row>
    <row r="703" ht="15.75" customHeight="1">
      <c r="C703" s="62"/>
    </row>
    <row r="704" ht="15.75" customHeight="1">
      <c r="C704" s="62"/>
    </row>
    <row r="705" ht="15.75" customHeight="1">
      <c r="C705" s="62"/>
    </row>
    <row r="706" ht="15.75" customHeight="1">
      <c r="C706" s="62"/>
    </row>
    <row r="707" ht="15.75" customHeight="1">
      <c r="C707" s="62"/>
    </row>
    <row r="708" ht="15.75" customHeight="1">
      <c r="C708" s="62"/>
    </row>
    <row r="709" ht="15.75" customHeight="1">
      <c r="C709" s="62"/>
    </row>
    <row r="710" ht="15.75" customHeight="1">
      <c r="C710" s="62"/>
    </row>
    <row r="711" ht="15.75" customHeight="1">
      <c r="C711" s="62"/>
    </row>
    <row r="712" ht="15.75" customHeight="1">
      <c r="C712" s="62"/>
    </row>
    <row r="713" ht="15.75" customHeight="1">
      <c r="C713" s="62"/>
    </row>
    <row r="714" ht="15.75" customHeight="1">
      <c r="C714" s="62"/>
    </row>
    <row r="715" ht="15.75" customHeight="1">
      <c r="C715" s="62"/>
    </row>
    <row r="716" ht="15.75" customHeight="1">
      <c r="C716" s="62"/>
    </row>
    <row r="717" ht="15.75" customHeight="1">
      <c r="C717" s="62"/>
    </row>
    <row r="718" ht="15.75" customHeight="1">
      <c r="C718" s="62"/>
    </row>
    <row r="719" ht="15.75" customHeight="1">
      <c r="C719" s="62"/>
    </row>
    <row r="720" ht="15.75" customHeight="1">
      <c r="C720" s="62"/>
    </row>
    <row r="721" ht="15.75" customHeight="1">
      <c r="C721" s="62"/>
    </row>
    <row r="722" ht="15.75" customHeight="1">
      <c r="C722" s="62"/>
    </row>
    <row r="723" ht="15.75" customHeight="1">
      <c r="C723" s="62"/>
    </row>
    <row r="724" ht="15.75" customHeight="1">
      <c r="C724" s="62"/>
    </row>
    <row r="725" ht="15.75" customHeight="1">
      <c r="C725" s="62"/>
    </row>
    <row r="726" ht="15.75" customHeight="1">
      <c r="C726" s="62"/>
    </row>
    <row r="727" ht="15.75" customHeight="1">
      <c r="C727" s="62"/>
    </row>
    <row r="728" ht="15.75" customHeight="1">
      <c r="C728" s="62"/>
    </row>
    <row r="729" ht="15.75" customHeight="1">
      <c r="C729" s="62"/>
    </row>
    <row r="730" ht="15.75" customHeight="1">
      <c r="C730" s="62"/>
    </row>
    <row r="731" ht="15.75" customHeight="1">
      <c r="C731" s="62"/>
    </row>
    <row r="732" ht="15.75" customHeight="1">
      <c r="C732" s="62"/>
    </row>
    <row r="733" ht="15.75" customHeight="1">
      <c r="C733" s="62"/>
    </row>
    <row r="734" ht="15.75" customHeight="1">
      <c r="C734" s="62"/>
    </row>
    <row r="735" ht="15.75" customHeight="1">
      <c r="C735" s="62"/>
    </row>
    <row r="736" ht="15.75" customHeight="1">
      <c r="C736" s="62"/>
    </row>
    <row r="737" ht="15.75" customHeight="1">
      <c r="C737" s="62"/>
    </row>
    <row r="738" ht="15.75" customHeight="1">
      <c r="C738" s="62"/>
    </row>
    <row r="739" ht="15.75" customHeight="1">
      <c r="C739" s="62"/>
    </row>
    <row r="740" ht="15.75" customHeight="1">
      <c r="C740" s="62"/>
    </row>
    <row r="741" ht="15.75" customHeight="1">
      <c r="C741" s="62"/>
    </row>
    <row r="742" ht="15.75" customHeight="1">
      <c r="C742" s="62"/>
    </row>
    <row r="743" ht="15.75" customHeight="1">
      <c r="C743" s="62"/>
    </row>
    <row r="744" ht="15.75" customHeight="1">
      <c r="C744" s="62"/>
    </row>
    <row r="745" ht="15.75" customHeight="1">
      <c r="C745" s="62"/>
    </row>
    <row r="746" ht="15.75" customHeight="1">
      <c r="C746" s="62"/>
    </row>
    <row r="747" ht="15.75" customHeight="1">
      <c r="C747" s="62"/>
    </row>
    <row r="748" ht="15.75" customHeight="1">
      <c r="C748" s="62"/>
    </row>
    <row r="749" ht="15.75" customHeight="1">
      <c r="C749" s="62"/>
    </row>
    <row r="750" ht="15.75" customHeight="1">
      <c r="C750" s="62"/>
    </row>
    <row r="751" ht="15.75" customHeight="1">
      <c r="C751" s="62"/>
    </row>
    <row r="752" ht="15.75" customHeight="1">
      <c r="C752" s="62"/>
    </row>
    <row r="753" ht="15.75" customHeight="1">
      <c r="C753" s="62"/>
    </row>
    <row r="754" ht="15.75" customHeight="1">
      <c r="C754" s="62"/>
    </row>
    <row r="755" ht="15.75" customHeight="1">
      <c r="C755" s="62"/>
    </row>
    <row r="756" ht="15.75" customHeight="1">
      <c r="C756" s="62"/>
    </row>
    <row r="757" ht="15.75" customHeight="1">
      <c r="C757" s="62"/>
    </row>
    <row r="758" ht="15.75" customHeight="1">
      <c r="C758" s="62"/>
    </row>
    <row r="759" ht="15.75" customHeight="1">
      <c r="C759" s="62"/>
    </row>
    <row r="760" ht="15.75" customHeight="1">
      <c r="C760" s="62"/>
    </row>
    <row r="761" ht="15.75" customHeight="1">
      <c r="C761" s="62"/>
    </row>
    <row r="762" ht="15.75" customHeight="1">
      <c r="C762" s="62"/>
    </row>
    <row r="763" ht="15.75" customHeight="1">
      <c r="C763" s="62"/>
    </row>
    <row r="764" ht="15.75" customHeight="1">
      <c r="C764" s="62"/>
    </row>
    <row r="765" ht="15.75" customHeight="1">
      <c r="C765" s="62"/>
    </row>
    <row r="766" ht="15.75" customHeight="1">
      <c r="C766" s="62"/>
    </row>
    <row r="767" ht="15.75" customHeight="1">
      <c r="C767" s="62"/>
    </row>
    <row r="768" ht="15.75" customHeight="1">
      <c r="C768" s="62"/>
    </row>
    <row r="769" ht="15.75" customHeight="1">
      <c r="C769" s="62"/>
    </row>
    <row r="770" ht="15.75" customHeight="1">
      <c r="C770" s="62"/>
    </row>
    <row r="771" ht="15.75" customHeight="1">
      <c r="C771" s="62"/>
    </row>
    <row r="772" ht="15.75" customHeight="1">
      <c r="C772" s="62"/>
    </row>
    <row r="773" ht="15.75" customHeight="1">
      <c r="C773" s="62"/>
    </row>
    <row r="774" ht="15.75" customHeight="1">
      <c r="C774" s="62"/>
    </row>
    <row r="775" ht="15.75" customHeight="1">
      <c r="C775" s="62"/>
    </row>
    <row r="776" ht="15.75" customHeight="1">
      <c r="C776" s="62"/>
    </row>
    <row r="777" ht="15.75" customHeight="1">
      <c r="C777" s="62"/>
    </row>
    <row r="778" ht="15.75" customHeight="1">
      <c r="C778" s="62"/>
    </row>
    <row r="779" ht="15.75" customHeight="1">
      <c r="C779" s="62"/>
    </row>
    <row r="780" ht="15.75" customHeight="1">
      <c r="C780" s="62"/>
    </row>
    <row r="781" ht="15.75" customHeight="1">
      <c r="C781" s="62"/>
    </row>
    <row r="782" ht="15.75" customHeight="1">
      <c r="C782" s="62"/>
    </row>
    <row r="783" ht="15.75" customHeight="1">
      <c r="C783" s="62"/>
    </row>
    <row r="784" ht="15.75" customHeight="1">
      <c r="C784" s="62"/>
    </row>
    <row r="785" ht="15.75" customHeight="1">
      <c r="C785" s="62"/>
    </row>
    <row r="786" ht="15.75" customHeight="1">
      <c r="C786" s="62"/>
    </row>
    <row r="787" ht="15.75" customHeight="1">
      <c r="C787" s="62"/>
    </row>
    <row r="788" ht="15.75" customHeight="1">
      <c r="C788" s="62"/>
    </row>
    <row r="789" ht="15.75" customHeight="1">
      <c r="C789" s="62"/>
    </row>
    <row r="790" ht="15.75" customHeight="1">
      <c r="C790" s="62"/>
    </row>
    <row r="791" ht="15.75" customHeight="1">
      <c r="C791" s="62"/>
    </row>
    <row r="792" ht="15.75" customHeight="1">
      <c r="C792" s="62"/>
    </row>
    <row r="793" ht="15.75" customHeight="1">
      <c r="C793" s="62"/>
    </row>
    <row r="794" ht="15.75" customHeight="1">
      <c r="C794" s="62"/>
    </row>
    <row r="795" ht="15.75" customHeight="1">
      <c r="C795" s="62"/>
    </row>
    <row r="796" ht="15.75" customHeight="1">
      <c r="C796" s="62"/>
    </row>
    <row r="797" ht="15.75" customHeight="1">
      <c r="C797" s="62"/>
    </row>
    <row r="798" ht="15.75" customHeight="1">
      <c r="C798" s="62"/>
    </row>
    <row r="799" ht="15.75" customHeight="1">
      <c r="C799" s="62"/>
    </row>
    <row r="800" ht="15.75" customHeight="1">
      <c r="C800" s="62"/>
    </row>
    <row r="801" ht="15.75" customHeight="1">
      <c r="C801" s="62"/>
    </row>
    <row r="802" ht="15.75" customHeight="1">
      <c r="C802" s="62"/>
    </row>
    <row r="803" ht="15.75" customHeight="1">
      <c r="C803" s="62"/>
    </row>
    <row r="804" ht="15.75" customHeight="1">
      <c r="C804" s="62"/>
    </row>
    <row r="805" ht="15.75" customHeight="1">
      <c r="C805" s="62"/>
    </row>
    <row r="806" ht="15.75" customHeight="1">
      <c r="C806" s="62"/>
    </row>
    <row r="807" ht="15.75" customHeight="1">
      <c r="C807" s="62"/>
    </row>
    <row r="808" ht="15.75" customHeight="1">
      <c r="C808" s="62"/>
    </row>
    <row r="809" ht="15.75" customHeight="1">
      <c r="C809" s="62"/>
    </row>
    <row r="810" ht="15.75" customHeight="1">
      <c r="C810" s="62"/>
    </row>
    <row r="811" ht="15.75" customHeight="1">
      <c r="C811" s="62"/>
    </row>
    <row r="812" ht="15.75" customHeight="1">
      <c r="C812" s="62"/>
    </row>
    <row r="813" ht="15.75" customHeight="1">
      <c r="C813" s="62"/>
    </row>
    <row r="814" ht="15.75" customHeight="1">
      <c r="C814" s="62"/>
    </row>
    <row r="815" ht="15.75" customHeight="1">
      <c r="C815" s="62"/>
    </row>
    <row r="816" ht="15.75" customHeight="1">
      <c r="C816" s="62"/>
    </row>
    <row r="817" ht="15.75" customHeight="1">
      <c r="C817" s="62"/>
    </row>
    <row r="818" ht="15.75" customHeight="1">
      <c r="C818" s="62"/>
    </row>
    <row r="819" ht="15.75" customHeight="1">
      <c r="C819" s="62"/>
    </row>
    <row r="820" ht="15.75" customHeight="1">
      <c r="C820" s="62"/>
    </row>
    <row r="821" ht="15.75" customHeight="1">
      <c r="C821" s="62"/>
    </row>
    <row r="822" ht="15.75" customHeight="1">
      <c r="C822" s="62"/>
    </row>
    <row r="823" ht="15.75" customHeight="1">
      <c r="C823" s="62"/>
    </row>
    <row r="824" ht="15.75" customHeight="1">
      <c r="C824" s="62"/>
    </row>
    <row r="825" ht="15.75" customHeight="1">
      <c r="C825" s="62"/>
    </row>
    <row r="826" ht="15.75" customHeight="1">
      <c r="C826" s="62"/>
    </row>
    <row r="827" ht="15.75" customHeight="1">
      <c r="C827" s="62"/>
    </row>
    <row r="828" ht="15.75" customHeight="1">
      <c r="C828" s="62"/>
    </row>
    <row r="829" ht="15.75" customHeight="1">
      <c r="C829" s="62"/>
    </row>
    <row r="830" ht="15.75" customHeight="1">
      <c r="C830" s="62"/>
    </row>
    <row r="831" ht="15.75" customHeight="1">
      <c r="C831" s="62"/>
    </row>
    <row r="832" ht="15.75" customHeight="1">
      <c r="C832" s="62"/>
    </row>
    <row r="833" ht="15.75" customHeight="1">
      <c r="C833" s="62"/>
    </row>
    <row r="834" ht="15.75" customHeight="1">
      <c r="C834" s="62"/>
    </row>
    <row r="835" ht="15.75" customHeight="1">
      <c r="C835" s="62"/>
    </row>
    <row r="836" ht="15.75" customHeight="1">
      <c r="C836" s="62"/>
    </row>
    <row r="837" ht="15.75" customHeight="1">
      <c r="C837" s="62"/>
    </row>
    <row r="838" ht="15.75" customHeight="1">
      <c r="C838" s="62"/>
    </row>
    <row r="839" ht="15.75" customHeight="1">
      <c r="C839" s="62"/>
    </row>
    <row r="840" ht="15.75" customHeight="1">
      <c r="C840" s="62"/>
    </row>
    <row r="841" ht="15.75" customHeight="1">
      <c r="C841" s="62"/>
    </row>
    <row r="842" ht="15.75" customHeight="1">
      <c r="C842" s="62"/>
    </row>
    <row r="843" ht="15.75" customHeight="1">
      <c r="C843" s="62"/>
    </row>
    <row r="844" ht="15.75" customHeight="1">
      <c r="C844" s="62"/>
    </row>
    <row r="845" ht="15.75" customHeight="1">
      <c r="C845" s="62"/>
    </row>
    <row r="846" ht="15.75" customHeight="1">
      <c r="C846" s="62"/>
    </row>
    <row r="847" ht="15.75" customHeight="1">
      <c r="C847" s="62"/>
    </row>
    <row r="848" ht="15.75" customHeight="1">
      <c r="C848" s="62"/>
    </row>
    <row r="849" ht="15.75" customHeight="1">
      <c r="C849" s="62"/>
    </row>
    <row r="850" ht="15.75" customHeight="1">
      <c r="C850" s="62"/>
    </row>
    <row r="851" ht="15.75" customHeight="1">
      <c r="C851" s="62"/>
    </row>
    <row r="852" ht="15.75" customHeight="1">
      <c r="C852" s="62"/>
    </row>
    <row r="853" ht="15.75" customHeight="1">
      <c r="C853" s="62"/>
    </row>
    <row r="854" ht="15.75" customHeight="1">
      <c r="C854" s="62"/>
    </row>
    <row r="855" ht="15.75" customHeight="1">
      <c r="C855" s="62"/>
    </row>
    <row r="856" ht="15.75" customHeight="1">
      <c r="C856" s="62"/>
    </row>
    <row r="857" ht="15.75" customHeight="1">
      <c r="C857" s="62"/>
    </row>
    <row r="858" ht="15.75" customHeight="1">
      <c r="C858" s="62"/>
    </row>
    <row r="859" ht="15.75" customHeight="1">
      <c r="C859" s="62"/>
    </row>
    <row r="860" ht="15.75" customHeight="1">
      <c r="C860" s="62"/>
    </row>
    <row r="861" ht="15.75" customHeight="1">
      <c r="C861" s="62"/>
    </row>
    <row r="862" ht="15.75" customHeight="1">
      <c r="C862" s="62"/>
    </row>
    <row r="863" ht="15.75" customHeight="1">
      <c r="C863" s="62"/>
    </row>
    <row r="864" ht="15.75" customHeight="1">
      <c r="C864" s="62"/>
    </row>
    <row r="865" ht="15.75" customHeight="1">
      <c r="C865" s="62"/>
    </row>
    <row r="866" ht="15.75" customHeight="1">
      <c r="C866" s="62"/>
    </row>
    <row r="867" ht="15.75" customHeight="1">
      <c r="C867" s="62"/>
    </row>
    <row r="868" ht="15.75" customHeight="1">
      <c r="C868" s="62"/>
    </row>
    <row r="869" ht="15.75" customHeight="1">
      <c r="C869" s="62"/>
    </row>
    <row r="870" ht="15.75" customHeight="1">
      <c r="C870" s="62"/>
    </row>
    <row r="871" ht="15.75" customHeight="1">
      <c r="C871" s="62"/>
    </row>
    <row r="872" ht="15.75" customHeight="1">
      <c r="C872" s="62"/>
    </row>
    <row r="873" ht="15.75" customHeight="1">
      <c r="C873" s="62"/>
    </row>
    <row r="874" ht="15.75" customHeight="1">
      <c r="C874" s="62"/>
    </row>
    <row r="875" ht="15.75" customHeight="1">
      <c r="C875" s="62"/>
    </row>
    <row r="876" ht="15.75" customHeight="1">
      <c r="C876" s="62"/>
    </row>
    <row r="877" ht="15.75" customHeight="1">
      <c r="C877" s="62"/>
    </row>
    <row r="878" ht="15.75" customHeight="1">
      <c r="C878" s="62"/>
    </row>
    <row r="879" ht="15.75" customHeight="1">
      <c r="C879" s="62"/>
    </row>
    <row r="880" ht="15.75" customHeight="1">
      <c r="C880" s="62"/>
    </row>
    <row r="881" ht="15.75" customHeight="1">
      <c r="C881" s="62"/>
    </row>
    <row r="882" ht="15.75" customHeight="1">
      <c r="C882" s="62"/>
    </row>
    <row r="883" ht="15.75" customHeight="1">
      <c r="C883" s="62"/>
    </row>
    <row r="884" ht="15.75" customHeight="1">
      <c r="C884" s="62"/>
    </row>
    <row r="885" ht="15.75" customHeight="1">
      <c r="C885" s="62"/>
    </row>
    <row r="886" ht="15.75" customHeight="1">
      <c r="C886" s="62"/>
    </row>
    <row r="887" ht="15.75" customHeight="1">
      <c r="C887" s="62"/>
    </row>
    <row r="888" ht="15.75" customHeight="1">
      <c r="C888" s="62"/>
    </row>
    <row r="889" ht="15.75" customHeight="1">
      <c r="C889" s="62"/>
    </row>
    <row r="890" ht="15.75" customHeight="1">
      <c r="C890" s="62"/>
    </row>
    <row r="891" ht="15.75" customHeight="1">
      <c r="C891" s="62"/>
    </row>
    <row r="892" ht="15.75" customHeight="1">
      <c r="C892" s="62"/>
    </row>
    <row r="893" ht="15.75" customHeight="1">
      <c r="C893" s="62"/>
    </row>
    <row r="894" ht="15.75" customHeight="1">
      <c r="C894" s="62"/>
    </row>
    <row r="895" ht="15.75" customHeight="1">
      <c r="C895" s="62"/>
    </row>
    <row r="896" ht="15.75" customHeight="1">
      <c r="C896" s="62"/>
    </row>
    <row r="897" ht="15.75" customHeight="1">
      <c r="C897" s="62"/>
    </row>
    <row r="898" ht="15.75" customHeight="1">
      <c r="C898" s="62"/>
    </row>
    <row r="899" ht="15.75" customHeight="1">
      <c r="C899" s="62"/>
    </row>
    <row r="900" ht="15.75" customHeight="1">
      <c r="C900" s="62"/>
    </row>
    <row r="901" ht="15.75" customHeight="1">
      <c r="C901" s="62"/>
    </row>
    <row r="902" ht="15.75" customHeight="1">
      <c r="C902" s="62"/>
    </row>
    <row r="903" ht="15.75" customHeight="1">
      <c r="C903" s="62"/>
    </row>
    <row r="904" ht="15.75" customHeight="1">
      <c r="C904" s="62"/>
    </row>
    <row r="905" ht="15.75" customHeight="1">
      <c r="C905" s="62"/>
    </row>
    <row r="906" ht="15.75" customHeight="1">
      <c r="C906" s="62"/>
    </row>
    <row r="907" ht="15.75" customHeight="1">
      <c r="C907" s="62"/>
    </row>
    <row r="908" ht="15.75" customHeight="1">
      <c r="C908" s="62"/>
    </row>
    <row r="909" ht="15.75" customHeight="1">
      <c r="C909" s="62"/>
    </row>
    <row r="910" ht="15.75" customHeight="1">
      <c r="C910" s="62"/>
    </row>
    <row r="911" ht="15.75" customHeight="1">
      <c r="C911" s="62"/>
    </row>
    <row r="912" ht="15.75" customHeight="1">
      <c r="C912" s="62"/>
    </row>
    <row r="913" ht="15.75" customHeight="1">
      <c r="C913" s="62"/>
    </row>
    <row r="914" ht="15.75" customHeight="1">
      <c r="C914" s="62"/>
    </row>
    <row r="915" ht="15.75" customHeight="1">
      <c r="C915" s="62"/>
    </row>
    <row r="916" ht="15.75" customHeight="1">
      <c r="C916" s="62"/>
    </row>
    <row r="917" ht="15.75" customHeight="1">
      <c r="C917" s="62"/>
    </row>
    <row r="918" ht="15.75" customHeight="1">
      <c r="C918" s="62"/>
    </row>
    <row r="919" ht="15.75" customHeight="1">
      <c r="C919" s="62"/>
    </row>
    <row r="920" ht="15.75" customHeight="1">
      <c r="C920" s="62"/>
    </row>
    <row r="921" ht="15.75" customHeight="1">
      <c r="C921" s="62"/>
    </row>
    <row r="922" ht="15.75" customHeight="1">
      <c r="C922" s="62"/>
    </row>
    <row r="923" ht="15.75" customHeight="1">
      <c r="C923" s="62"/>
    </row>
    <row r="924" ht="15.75" customHeight="1">
      <c r="C924" s="62"/>
    </row>
    <row r="925" ht="15.75" customHeight="1">
      <c r="C925" s="62"/>
    </row>
    <row r="926" ht="15.75" customHeight="1">
      <c r="C926" s="62"/>
    </row>
    <row r="927" ht="15.75" customHeight="1">
      <c r="C927" s="62"/>
    </row>
    <row r="928" ht="15.75" customHeight="1">
      <c r="C928" s="62"/>
    </row>
    <row r="929" ht="15.75" customHeight="1">
      <c r="C929" s="62"/>
    </row>
    <row r="930" ht="15.75" customHeight="1">
      <c r="C930" s="62"/>
    </row>
    <row r="931" ht="15.75" customHeight="1">
      <c r="C931" s="62"/>
    </row>
    <row r="932" ht="15.75" customHeight="1">
      <c r="C932" s="62"/>
    </row>
    <row r="933" ht="15.75" customHeight="1">
      <c r="C933" s="62"/>
    </row>
    <row r="934" ht="15.75" customHeight="1">
      <c r="C934" s="62"/>
    </row>
    <row r="935" ht="15.75" customHeight="1">
      <c r="C935" s="62"/>
    </row>
    <row r="936" ht="15.75" customHeight="1">
      <c r="C936" s="62"/>
    </row>
    <row r="937" ht="15.75" customHeight="1">
      <c r="C937" s="62"/>
    </row>
    <row r="938" ht="15.75" customHeight="1">
      <c r="C938" s="62"/>
    </row>
    <row r="939" ht="15.75" customHeight="1">
      <c r="C939" s="62"/>
    </row>
    <row r="940" ht="15.75" customHeight="1">
      <c r="C940" s="62"/>
    </row>
    <row r="941" ht="15.75" customHeight="1">
      <c r="C941" s="62"/>
    </row>
    <row r="942" ht="15.75" customHeight="1">
      <c r="C942" s="62"/>
    </row>
    <row r="943" ht="15.75" customHeight="1">
      <c r="C943" s="62"/>
    </row>
    <row r="944" ht="15.75" customHeight="1">
      <c r="C944" s="62"/>
    </row>
    <row r="945" ht="15.75" customHeight="1">
      <c r="C945" s="62"/>
    </row>
    <row r="946" ht="15.75" customHeight="1">
      <c r="C946" s="62"/>
    </row>
    <row r="947" ht="15.75" customHeight="1">
      <c r="C947" s="62"/>
    </row>
    <row r="948" ht="15.75" customHeight="1">
      <c r="C948" s="62"/>
    </row>
    <row r="949" ht="15.75" customHeight="1">
      <c r="C949" s="62"/>
    </row>
    <row r="950" ht="15.75" customHeight="1">
      <c r="C950" s="62"/>
    </row>
    <row r="951" ht="15.75" customHeight="1">
      <c r="C951" s="62"/>
    </row>
    <row r="952" ht="15.75" customHeight="1">
      <c r="C952" s="62"/>
    </row>
    <row r="953" ht="15.75" customHeight="1">
      <c r="C953" s="62"/>
    </row>
    <row r="954" ht="15.75" customHeight="1">
      <c r="C954" s="62"/>
    </row>
    <row r="955" ht="15.75" customHeight="1">
      <c r="C955" s="62"/>
    </row>
    <row r="956" ht="15.75" customHeight="1">
      <c r="C956" s="62"/>
    </row>
    <row r="957" ht="15.75" customHeight="1">
      <c r="C957" s="62"/>
    </row>
    <row r="958" ht="15.75" customHeight="1">
      <c r="C958" s="62"/>
    </row>
    <row r="959" ht="15.75" customHeight="1">
      <c r="C959" s="62"/>
    </row>
    <row r="960" ht="15.75" customHeight="1">
      <c r="C960" s="62"/>
    </row>
    <row r="961" ht="15.75" customHeight="1">
      <c r="C961" s="62"/>
    </row>
    <row r="962" ht="15.75" customHeight="1">
      <c r="C962" s="62"/>
    </row>
    <row r="963" ht="15.75" customHeight="1">
      <c r="C963" s="62"/>
    </row>
    <row r="964" ht="15.75" customHeight="1">
      <c r="C964" s="62"/>
    </row>
    <row r="965" ht="15.75" customHeight="1">
      <c r="C965" s="62"/>
    </row>
    <row r="966" ht="15.75" customHeight="1">
      <c r="C966" s="62"/>
    </row>
    <row r="967" ht="15.75" customHeight="1">
      <c r="C967" s="62"/>
    </row>
    <row r="968" ht="15.75" customHeight="1">
      <c r="C968" s="62"/>
    </row>
    <row r="969" ht="15.75" customHeight="1">
      <c r="C969" s="62"/>
    </row>
    <row r="970" ht="15.75" customHeight="1">
      <c r="C970" s="62"/>
    </row>
    <row r="971" ht="15.75" customHeight="1">
      <c r="C971" s="62"/>
    </row>
    <row r="972" ht="15.75" customHeight="1">
      <c r="C972" s="62"/>
    </row>
    <row r="973" ht="15.75" customHeight="1">
      <c r="C973" s="62"/>
    </row>
    <row r="974" ht="15.75" customHeight="1">
      <c r="C974" s="62"/>
    </row>
    <row r="975" ht="15.75" customHeight="1">
      <c r="C975" s="62"/>
    </row>
    <row r="976" ht="15.75" customHeight="1">
      <c r="C976" s="62"/>
    </row>
    <row r="977" ht="15.75" customHeight="1">
      <c r="C977" s="62"/>
    </row>
    <row r="978" ht="15.75" customHeight="1">
      <c r="C978" s="62"/>
    </row>
    <row r="979" ht="15.75" customHeight="1">
      <c r="C979" s="62"/>
    </row>
    <row r="980" ht="15.75" customHeight="1">
      <c r="C980" s="62"/>
    </row>
    <row r="981" ht="15.75" customHeight="1">
      <c r="C981" s="62"/>
    </row>
    <row r="982" ht="15.75" customHeight="1">
      <c r="C982" s="62"/>
    </row>
    <row r="983" ht="15.75" customHeight="1">
      <c r="C983" s="62"/>
    </row>
    <row r="984" ht="15.75" customHeight="1">
      <c r="C984" s="62"/>
    </row>
    <row r="985" ht="15.75" customHeight="1">
      <c r="C985" s="62"/>
    </row>
    <row r="986" ht="15.75" customHeight="1">
      <c r="C986" s="62"/>
    </row>
    <row r="987" ht="15.75" customHeight="1">
      <c r="C987" s="62"/>
    </row>
    <row r="988" ht="15.75" customHeight="1">
      <c r="C988" s="62"/>
    </row>
    <row r="989" ht="15.75" customHeight="1">
      <c r="C989" s="62"/>
    </row>
    <row r="990" ht="15.75" customHeight="1">
      <c r="C990" s="62"/>
    </row>
    <row r="991" ht="15.75" customHeight="1">
      <c r="C991" s="62"/>
    </row>
    <row r="992" ht="15.75" customHeight="1">
      <c r="C992" s="62"/>
    </row>
    <row r="993" ht="15.75" customHeight="1">
      <c r="C993" s="62"/>
    </row>
    <row r="994" ht="15.75" customHeight="1">
      <c r="C994" s="62"/>
    </row>
    <row r="995" ht="15.75" customHeight="1">
      <c r="C995" s="62"/>
    </row>
    <row r="996" ht="15.75" customHeight="1">
      <c r="C996" s="62"/>
    </row>
    <row r="997" ht="15.75" customHeight="1">
      <c r="C997" s="62"/>
    </row>
    <row r="998" ht="15.75" customHeight="1">
      <c r="C998" s="62"/>
    </row>
    <row r="999" ht="15.75" customHeight="1">
      <c r="C999" s="62"/>
    </row>
    <row r="1000" ht="15.75" customHeight="1">
      <c r="C1000" s="62"/>
    </row>
  </sheetData>
  <autoFilter ref="$C$1:$C$121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2023-08-30T01:33:23Z</dcterms:created>
  <dc:creator>Bruno Carvalho</dc:creator>
</cp:coreProperties>
</file>