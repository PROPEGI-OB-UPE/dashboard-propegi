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 Lato Sensu" sheetId="1" r:id="rId4"/>
  </sheets>
  <definedNames>
    <definedName hidden="1" localSheetId="0" name="Z_E603B327_9DD7_4261_91DB_519B8B1D8933_.wvu.FilterData">'Cursos Lato Sensu'!$A$3:$BH$224</definedName>
    <definedName name="MY_FUNCTION1">LAMBDA(LARGE('Cursos Lato Sensu'!$AS$15:$BA$15,1)*(('Cursos Lato Sensu'!$AA$15*'Cursos Lato Sensu'!$AB$15)+('Cursos Lato Sensu'!$AC$15*'Cursos Lato Sensu'!$AD$15)+('Cursos Lato Sensu'!$AE$15*'Cursos Lato Sensu'!$AF$15)))</definedName>
  </definedNames>
  <calcPr/>
  <customWorkbookViews>
    <customWorkbookView activeSheetId="0" maximized="1" windowHeight="0" windowWidth="0" guid="{E603B327-9DD7-4261-91DB-519B8B1D8933}" name="Filtro 1"/>
  </customWorkbookViews>
  <extLst>
    <ext uri="GoogleSheetsCustomDataVersion2">
      <go:sheetsCustomData xmlns:go="http://customooxmlschemas.google.com/" r:id="rId5" roundtripDataChecksum="c4axIfNV7RRHjBhFp7Sd+3+BzrnP1L3YQTx0wQtjcUs="/>
    </ext>
  </extLst>
</workbook>
</file>

<file path=xl/sharedStrings.xml><?xml version="1.0" encoding="utf-8"?>
<sst xmlns="http://schemas.openxmlformats.org/spreadsheetml/2006/main" count="3122" uniqueCount="924">
  <si>
    <t>UNIDADE</t>
  </si>
  <si>
    <t>PROJETO</t>
  </si>
  <si>
    <t>IDENTIFICAÇÃO DO PROJETO</t>
  </si>
  <si>
    <t>CARACTERIZAÇÃO DO CURSO</t>
  </si>
  <si>
    <t>APRESENTAÇÃO DO CURSO</t>
  </si>
  <si>
    <t>INFORMAÇÕES DO CURSO</t>
  </si>
  <si>
    <t>PLANILHA FINANCEIRA</t>
  </si>
  <si>
    <t>CRIAÇÃO/REEDIÇÃO/RENOVAÇÃO</t>
  </si>
  <si>
    <t>FUNCIONAMENTO</t>
  </si>
  <si>
    <t>ATUALIZAÇÕES NO SITE UPE</t>
  </si>
  <si>
    <t>SELEÇÃO E DIVULGAÇÃO</t>
  </si>
  <si>
    <t>SITE DA UNIDADE</t>
  </si>
  <si>
    <t>PASTA DO CURSO</t>
  </si>
  <si>
    <t>CURSO</t>
  </si>
  <si>
    <t>GRANDE ÁREA E ÁREA DE CONHECIMENTO</t>
  </si>
  <si>
    <t>COORDENADOR DO CURSO</t>
  </si>
  <si>
    <t>EMAIL DO COORDENADOR</t>
  </si>
  <si>
    <t>CONTATO DO COOORDENADOR</t>
  </si>
  <si>
    <t>CARGA HORÁRIA</t>
  </si>
  <si>
    <t>TEMPO</t>
  </si>
  <si>
    <t>NATUREZA</t>
  </si>
  <si>
    <t>MODALIDADE</t>
  </si>
  <si>
    <t>MÍNIMO DE VAGAS</t>
  </si>
  <si>
    <t>MÁXIMO DE VAGAS</t>
  </si>
  <si>
    <t>ANO DE CRIAÇÃO</t>
  </si>
  <si>
    <t>OBJETIVOS DO CURSO</t>
  </si>
  <si>
    <t>LATTES DO COORDENADOR DO CURSO</t>
  </si>
  <si>
    <t>TCC (sim/não)</t>
  </si>
  <si>
    <t>MODALIDADE DO TCC</t>
  </si>
  <si>
    <t>DOCENTES DA UPE</t>
  </si>
  <si>
    <t>DOCENTES EXTERNOS</t>
  </si>
  <si>
    <t>PhD</t>
  </si>
  <si>
    <t>DOUTORES</t>
  </si>
  <si>
    <t>MESTRES</t>
  </si>
  <si>
    <t>ESPECIALISTAS</t>
  </si>
  <si>
    <t>TOTAL DE DOCENTES</t>
  </si>
  <si>
    <t>%DOCENTES UPE</t>
  </si>
  <si>
    <t>INSCRIÇÃO</t>
  </si>
  <si>
    <t>PARCELA INSCRIÇÃO</t>
  </si>
  <si>
    <t>MATRÍCULA</t>
  </si>
  <si>
    <t>PARCELA MATRÍCULA</t>
  </si>
  <si>
    <t>MENSALIDADE</t>
  </si>
  <si>
    <t>PARCELAS PAGAS</t>
  </si>
  <si>
    <t>TOTAL ARRECADADO</t>
  </si>
  <si>
    <t>TOTAL DE REMUNERAÇÕES</t>
  </si>
  <si>
    <t>RESERVADO PARA A UNIDADE (20%)</t>
  </si>
  <si>
    <t>FUNDO STRICTO SENSU (2,5%)</t>
  </si>
  <si>
    <t>IAUPE (mínimo 3%)</t>
  </si>
  <si>
    <t>RESOLUÇÃO CEPE</t>
  </si>
  <si>
    <t>ANO RESOLUÇÃO CEPE</t>
  </si>
  <si>
    <t>Resolução Renovação</t>
  </si>
  <si>
    <t>DATA RENOVAÇÃO</t>
  </si>
  <si>
    <t>CADASTRO e-MEC</t>
  </si>
  <si>
    <t>LINK DO CADASTRO e-MEC</t>
  </si>
  <si>
    <t>TURMA</t>
  </si>
  <si>
    <t xml:space="preserve"> ALUNOS MATRICULADOS 2025</t>
  </si>
  <si>
    <t>EGRESSOS ANO 2025</t>
  </si>
  <si>
    <t>MULHERES matriculaas 2025</t>
  </si>
  <si>
    <t>HOMENS matriculados 2025</t>
  </si>
  <si>
    <t>ÚLTIMA ATUALIZAÇÃO</t>
  </si>
  <si>
    <t>PREVISÃO PARA A PRÓXIMA SELEÇÃO</t>
  </si>
  <si>
    <t>LOCAIS DE DIVULGAÇÃO</t>
  </si>
  <si>
    <t>ARCOVERDE</t>
  </si>
  <si>
    <t>Clique aqui para ter acesso</t>
  </si>
  <si>
    <t>Especialização em Implantodontia</t>
  </si>
  <si>
    <t>Ciências da Saúde</t>
  </si>
  <si>
    <t>Prof. Dr. Humberto Gomes Vidal</t>
  </si>
  <si>
    <t>Parcial</t>
  </si>
  <si>
    <t>Especialização</t>
  </si>
  <si>
    <t>Presencial</t>
  </si>
  <si>
    <t>CURSO NOVO</t>
  </si>
  <si>
    <t>Especialização em Administração Pública e Direito Legislativo.</t>
  </si>
  <si>
    <t>Ciências Sociais Aplicadas</t>
  </si>
  <si>
    <t>Prof. Dr. Isabele Bandeira de Moraes D’Angelo</t>
  </si>
  <si>
    <t>Integral</t>
  </si>
  <si>
    <t>Especialização em Políticas Públicas e Enfrentamento à Violência Contra a Mulher</t>
  </si>
  <si>
    <t>Prof. Dr. Fernando da Silva Cardoso,</t>
  </si>
  <si>
    <t>Especialização em Ciências Criminais e Segurança Pública</t>
  </si>
  <si>
    <t>Prof. Dr. Homero Bezerra Ribeiro</t>
  </si>
  <si>
    <t>Especialização em Endodontia</t>
  </si>
  <si>
    <t>Prof. Dr. Marlos Barbosa Ribeiro</t>
  </si>
  <si>
    <t>marlos.ribeiro@upe.br</t>
  </si>
  <si>
    <t>(71) 99395-7408</t>
  </si>
  <si>
    <t>Qualificar Cirurgiões-Dentistas (CD) clínicos, fornecendo conhecimentos que
possibilitem reestabelecer, de forma, interdisciplinar e integrada, a harmonia funcional e estética do sistema estomatognático do paciente através da reabilitação dentária com tratamento endodôntico (TE).</t>
  </si>
  <si>
    <t>http://lattes.cnpq.br/1953193517646332</t>
  </si>
  <si>
    <t>Obrigatório</t>
  </si>
  <si>
    <t>Artigo Científico</t>
  </si>
  <si>
    <t>Nº 009/2022</t>
  </si>
  <si>
    <t>Sim</t>
  </si>
  <si>
    <t>Site UPE Multicampi Garanhuns</t>
  </si>
  <si>
    <t>CARUARU</t>
  </si>
  <si>
    <t>MBA em Gestão da Produção e Qualidade</t>
  </si>
  <si>
    <t>Ciências Social Aplicadas</t>
  </si>
  <si>
    <t>Prof. Dr. Helder Henrique Lima Diniz</t>
  </si>
  <si>
    <t>helder.lima@upe.br</t>
  </si>
  <si>
    <t>(81) 99826-7501</t>
  </si>
  <si>
    <t>MBA</t>
  </si>
  <si>
    <t>EAD</t>
  </si>
  <si>
    <t>Oferecer aos profissionais da área de produção e qualidade uma visão moderna,
eficiente e eficaz, com foco em resultados e na capacitação profissionais em
desenvolver conhecimento, inovar, gerir, planejar, acompanhar e tomar decisões
estratégicas.</t>
  </si>
  <si>
    <t>http://lattes.cnpq.br/6050306499643993</t>
  </si>
  <si>
    <t>18</t>
  </si>
  <si>
    <t>Nº 006/2020</t>
  </si>
  <si>
    <t>EM ANDAMENTO</t>
  </si>
  <si>
    <t>Site UPE Campus Caruaru</t>
  </si>
  <si>
    <t>Administração Pública e de Empresas, Ciências Contábeis e Turismo</t>
  </si>
  <si>
    <t>Administração Pública e de Empresas</t>
  </si>
  <si>
    <t>Prof. Dr. Fernando Pontual de Souza Leão Junior</t>
  </si>
  <si>
    <t>MBA em Análise de Dados para Investimentos e Negócios</t>
  </si>
  <si>
    <t>Administração&gt; finanças e tomada de decisão</t>
  </si>
  <si>
    <t>Prof. Dr. Robson Góes de Carvalho</t>
  </si>
  <si>
    <t>MBA EM ENGENHARIA DE MANUTENÇÃO E GESTÃO DE ATIVOS 4.0</t>
  </si>
  <si>
    <t>ENGENHARIA DE PRODUÇÃO / GERÊNCIA DE PRODUÇÃO</t>
  </si>
  <si>
    <t>ESEF</t>
  </si>
  <si>
    <t>Especialização em Avaliação da Performance Humana</t>
  </si>
  <si>
    <t>Manoel da Cunha Costa</t>
  </si>
  <si>
    <t xml:space="preserve">manoel.costa@upe.br </t>
  </si>
  <si>
    <t>(81) 99219-6019</t>
  </si>
  <si>
    <t xml:space="preserve"> Especializar Profissionais de Educação Física para intervir na avaliação
física, avaliando o condicionamento físico, os componentes funcionais e
morfológicos e a execução técnica de movimentos, objetivando orientar,
prevenir e reabilitar o condicionamento, o rendimento físico e técnico de
alunos, clientes e atletas.</t>
  </si>
  <si>
    <t>http://lattes.cnpq.br/5490469587516115</t>
  </si>
  <si>
    <t>Nº 060 /2015</t>
  </si>
  <si>
    <t>NÃO RENOVADO</t>
  </si>
  <si>
    <t>CONCLUÍDA</t>
  </si>
  <si>
    <t>Site UPE ESEF</t>
  </si>
  <si>
    <t>Especialização em Educação Física Escolar</t>
  </si>
  <si>
    <t>Marcelo Soares Tavares de Melo</t>
  </si>
  <si>
    <t>marcelo.melo@upe.br</t>
  </si>
  <si>
    <t>(81) 99962-0813</t>
  </si>
  <si>
    <t>Nº 054/2010</t>
  </si>
  <si>
    <t>N° 008/2021</t>
  </si>
  <si>
    <t>-</t>
  </si>
  <si>
    <t>Especialização em Treinamento Esportivo</t>
  </si>
  <si>
    <t>Carlos Augusto Mulatinho de Queiroz Pedroso</t>
  </si>
  <si>
    <t>carlos.mulatinho@upe.br</t>
  </si>
  <si>
    <t>(81) 99752-0521</t>
  </si>
  <si>
    <t>Capacitar os profissionais graduados em Educação Física a atuarem na área do
esporte, nas intervenções do planejamento, periodização e controle, avaliação e gestão do
treinamento esportivo;</t>
  </si>
  <si>
    <t>http://lattes.cnpq.br/4260058179425238</t>
  </si>
  <si>
    <t>Opcional</t>
  </si>
  <si>
    <t>Não exigido</t>
  </si>
  <si>
    <t>Nº061/2015</t>
  </si>
  <si>
    <t>N°087/2020</t>
  </si>
  <si>
    <t>Especialização em Treinamento de Força para a Saúde</t>
  </si>
  <si>
    <t>Marcos André Moura dos Santos</t>
  </si>
  <si>
    <t>marcos.andre@upe.br</t>
  </si>
  <si>
    <t>(81) 99793-4897</t>
  </si>
  <si>
    <t>Capacitar profissionais graduados em Educação Física para intervir na avaliação, prescrição
e orientação do exercício de força para e em diferentes populações.</t>
  </si>
  <si>
    <t>http://lattes.cnpq.br/1255644458061968;</t>
  </si>
  <si>
    <t>N° 055/2010</t>
  </si>
  <si>
    <t>N° 095/2020</t>
  </si>
  <si>
    <t>Especialização em Exercício Clínico</t>
  </si>
  <si>
    <t>Denise Maria Martins Vancea</t>
  </si>
  <si>
    <t>denise.martins@upe.br</t>
  </si>
  <si>
    <t>(81) 996461203</t>
  </si>
  <si>
    <t>Oferecer informações para profissionais de educação física e profissionais de outras áreas da saúde, que facilitem a associação dos tratamentos não-farmacológicos com a finalidade de ampliar a atuação desses profissionais na área do exercício clínico.</t>
  </si>
  <si>
    <t>http://lattes.cnpq.br/4496463696654444</t>
  </si>
  <si>
    <t>Nº 166/2019</t>
  </si>
  <si>
    <t>AGUARDA ANO DE RENOVAÇÃO</t>
  </si>
  <si>
    <t>Não</t>
  </si>
  <si>
    <t>Especialização em Fisiologia do Exercício</t>
  </si>
  <si>
    <t>Capacitar profissionais graduados em Educação Física para compreender as adaptações agudas e
crônicas dos sistemas fisiológicos durante o Exercício, como forma de aprimorar a sua
intervenção Profissional</t>
  </si>
  <si>
    <t>17</t>
  </si>
  <si>
    <t>Nº 094/2020</t>
  </si>
  <si>
    <t>Especialização em Atividade Física e Saúde Pública</t>
  </si>
  <si>
    <t>MAURO V. G. DE BARROS</t>
  </si>
  <si>
    <t>mauro.barros@upe.br</t>
  </si>
  <si>
    <t>(81) 99645-1278</t>
  </si>
  <si>
    <t>Desenvolver competências profissionais interdisciplinares e
multirreferenciais para intervenção na promoção da atividade física no campo da saúde
pública, abrangendo diferentes tipos, estratégias e níveis de intervenções na atenção à
saúde, na comunidade e em instituições.</t>
  </si>
  <si>
    <t>http://lattes.cnpq.br/4011800687498916</t>
  </si>
  <si>
    <t>067/2011</t>
  </si>
  <si>
    <t>Nº 007/2023</t>
  </si>
  <si>
    <t>Especialização em Treinamento de Corrida</t>
  </si>
  <si>
    <t>(81) 997934897</t>
  </si>
  <si>
    <t>Oferecer informações para profissionais de educação física, que facilitem a escolha adequada da natureza, duração e intensidade dos diversos métodos de treinamento de corrida e conhecer as estruturas do planejamento, biodinâmica da corrida e compreender a forma com que os sistemas interagem entre si contribuindo para a manutenção do equilíbrio interno dinâmico do organismo frente ao treinamento de corrida.</t>
  </si>
  <si>
    <t>Nº 084/2022</t>
  </si>
  <si>
    <t>FCAP</t>
  </si>
  <si>
    <t>MBA em Finanças Corporativas</t>
  </si>
  <si>
    <t>Renata Gusmão de Luna</t>
  </si>
  <si>
    <t>renata.gusmao@upe.br</t>
  </si>
  <si>
    <t>(81) 97906-3322</t>
  </si>
  <si>
    <t>Capacitar profissionais a partir da atualização e aprofundamento de conceitos pertinentes à gestão financeira, visando à sustentabilidade das empresas. Atualizar os conceitos e práticas da Gestão Financeira, demonstrando aos participantes a necessidade de uma abordagem adequada as Finanças Corporativas no equacionamento e solução dos problemas de suas empresas, com ênfase especial para os que operam em mercados competitivos e em ambientes de contínuas mudanças.</t>
  </si>
  <si>
    <t>http://lattes.cnpq.br/3491558231307508</t>
  </si>
  <si>
    <t>16</t>
  </si>
  <si>
    <t>Nº 091/2019</t>
  </si>
  <si>
    <t>MBA em Gestão Empresarial</t>
  </si>
  <si>
    <t>Ana Maria Sotero Pereira</t>
  </si>
  <si>
    <t>ana.sotero@upe.br</t>
  </si>
  <si>
    <t>(81) 9.86640692</t>
  </si>
  <si>
    <t>Promover o desenvolvimento de profissionais com capacidade para pensar estrategicamente e utilizar de forma eficaz as modernas ferramentas e técnicas de gestão empresarial, visando criar as melhores estratégias para as empresas, aliando habilidades de gestão e competências de liderança</t>
  </si>
  <si>
    <t>http://lattes.cnpq.br/6989029040773453</t>
  </si>
  <si>
    <t>Não Exigido</t>
  </si>
  <si>
    <t>Nº 090/2019</t>
  </si>
  <si>
    <t>MBA em Marketing</t>
  </si>
  <si>
    <t>José Nivaldo Brayner de Araújo</t>
  </si>
  <si>
    <t>nivaldo_brayner@hotmail.com</t>
  </si>
  <si>
    <t>Atualizar os conceitos e práticas da Administração mercadológica, demonstrando aos participantes a necessidade de uma abordagem adequada de marketing no equacionamento e solução dos problemas de suas empresas, com ênfase especial para os que operam em mercados competitivos e em ambientes de contínuas mudanças.</t>
  </si>
  <si>
    <t>http://lattes.cnpq.br/7169699250722995</t>
  </si>
  <si>
    <t>Não especificado</t>
  </si>
  <si>
    <t>Nº 125/2015</t>
  </si>
  <si>
    <t>MBA em Gestão com Pessoas</t>
  </si>
  <si>
    <t>Carlos Henrique Michels de Sant'Anna</t>
  </si>
  <si>
    <t>carloshmsantanna@gmail.com</t>
  </si>
  <si>
    <t>(81) 9.88742097</t>
  </si>
  <si>
    <t>Oferecer uma visão abrangente e sistematizada de gestão de pessoas, voltada à integração de capacidades pessoais e objetivos organizacionaisalém de apresentar uma visão consistente das variáveis socioambientais, organizacionais e individuais, e suas ferramentas de gestão que influenciam a criatividade no desempenho humano de uma organização.</t>
  </si>
  <si>
    <t>http://lattes.cnpq.br/9036538031307341</t>
  </si>
  <si>
    <t>Monografia - Artigo Científico - Projeto de intervenção</t>
  </si>
  <si>
    <t>N° 074/2008</t>
  </si>
  <si>
    <t>N° 107/2018</t>
  </si>
  <si>
    <t>MBA em Gestão de Custos e Controladoria</t>
  </si>
  <si>
    <t>Nº 067/2008</t>
  </si>
  <si>
    <t>MBA em Gestão de Serviços de Saúde e Gestão Hospitalar</t>
  </si>
  <si>
    <t>Maria Cristina Sette de Lima</t>
  </si>
  <si>
    <t>cristinasette@bol.com.br</t>
  </si>
  <si>
    <t>Nº 038/2016</t>
  </si>
  <si>
    <t>MBA em Planejamento e Gestão Organizacional</t>
  </si>
  <si>
    <t>Arine Maria Víveros de Castro Lyra</t>
  </si>
  <si>
    <t>arine.lyra@upe.br</t>
  </si>
  <si>
    <t>(81) 9.9607-0234</t>
  </si>
  <si>
    <t>Desenvolver uma visão estratégica e sistêmica da gestão dos sistemas privados e públicos. Oferecer
instrumentais, conceitos e técnicas, que propicie maior eficiência no planejamento e gestão para o
processo decisório.</t>
  </si>
  <si>
    <t>http://lattes.cnpq.br/1999800819046051</t>
  </si>
  <si>
    <t>Monografia - Artigo Científico</t>
  </si>
  <si>
    <t>19</t>
  </si>
  <si>
    <t>Nº 001/2019</t>
  </si>
  <si>
    <t>MBA em Gestão Pública</t>
  </si>
  <si>
    <t>Marcus Augusto Vasconcelos Araújo</t>
  </si>
  <si>
    <t>marcus.araujo@upe.br</t>
  </si>
  <si>
    <t>Nº 109/2018</t>
  </si>
  <si>
    <t>MBA em Gestão de Inovação e Tecnologia</t>
  </si>
  <si>
    <t>Djlama Silva Guimarães Júnior</t>
  </si>
  <si>
    <t>djalma.guimaraes@upe.br</t>
  </si>
  <si>
    <t>(81) 9.9674-9237</t>
  </si>
  <si>
    <t xml:space="preserve">Capacitar profissionais para a prospecção, desenvolvimento e difusão da inovação de forma a contribuir decisivamente para a capacidade inovativa e competitividade das organizações. </t>
  </si>
  <si>
    <t>http://lattes.cnpq.br/0925195763491278</t>
  </si>
  <si>
    <t>Monografia - Artigo científico - Registro de Processo - Registro de produto ou software - Projeto de Interveção</t>
  </si>
  <si>
    <t>14</t>
  </si>
  <si>
    <t>Nº 040/2017</t>
  </si>
  <si>
    <t>AGUARDA RENOVAÇÃO</t>
  </si>
  <si>
    <t>MBA em Gestão Comercial</t>
  </si>
  <si>
    <t>Theresa Chistina Jardim Frazão</t>
  </si>
  <si>
    <t>theresa.frazao@upe.br</t>
  </si>
  <si>
    <t>Oferecer uma visão abrangente e sistematizada de gestão comercial, com o intuito de formar profissionais que identifiquem e desenvolvam estratégias e diretrizes comerciais e de vendas, no atacado e no varejo, de forma ética e humana, comprometido com a sustentabilidade ambiental, socioeconômica e com o  bem-estar das pessoas.</t>
  </si>
  <si>
    <t xml:space="preserve">Link disponibilizado no PPC não existe, não encontrado currículo no lattes. </t>
  </si>
  <si>
    <t>Monografia - Artigo Científico - Projeto de Intervenção</t>
  </si>
  <si>
    <t>Nº 108/2018</t>
  </si>
  <si>
    <t>MBA em Gestão Socioambiental e Desenvolvimento Sustentável</t>
  </si>
  <si>
    <t>Ademir Macedo Nascimento</t>
  </si>
  <si>
    <t>ademir.nascimento@upe.br</t>
  </si>
  <si>
    <t>(81) 9.9718-7743</t>
  </si>
  <si>
    <t>Capacitar profissionais dos setores público e privado para planejamento e gestão de ações
socioambientais</t>
  </si>
  <si>
    <t>http://lattes.cnpq.br/0303674862794540</t>
  </si>
  <si>
    <t>Artigo Científico - Registro de Produto ou Software - Projeto de Intervenção</t>
  </si>
  <si>
    <t>Nº 163/2019</t>
  </si>
  <si>
    <t>MBA em Gestão da Produção</t>
  </si>
  <si>
    <t>Djlama Guimarães</t>
  </si>
  <si>
    <t>Nº 064/2017</t>
  </si>
  <si>
    <t>MBA em Planejamento e Gestão da Logística Empresarial</t>
  </si>
  <si>
    <t xml:space="preserve">Fernando Guilhobel Rosas Trigueiro </t>
  </si>
  <si>
    <t>trigueiro@focustrigueiro.com.br</t>
  </si>
  <si>
    <t>(81) 9.9182-6447</t>
  </si>
  <si>
    <t>Sensibilizar os participantes para a necessidade de desenvolver novas habilidades no planejamento, gestão e redirecionamento de empreendimentos logísticos, oferecendo-lhes uma sólida base conceitual e ferramentas para a gestão estratégica de negócios, em ambientes altamente competitivos.</t>
  </si>
  <si>
    <t>http://lattes.cnpq.br/5746875992368625</t>
  </si>
  <si>
    <t xml:space="preserve">Obrigatório </t>
  </si>
  <si>
    <t>Monografia - Artigo Científico - Projeto com aplicabilidade empresarial</t>
  </si>
  <si>
    <t>Nº 095/2017</t>
  </si>
  <si>
    <t>MBA em Gestão do Ministério Público</t>
  </si>
  <si>
    <t>Isabele Bandeira de Moraes D’Angelo</t>
  </si>
  <si>
    <t>isabele.dangelo@upe.br</t>
  </si>
  <si>
    <t>(81) 9.9949-8744</t>
  </si>
  <si>
    <t>Proporcionar aos participantes uma visão ampla e integrada da administração pública
brasileira nos cenários das transformaçoẽ s econômicas, sociais e políticas do país e do
mundo e promover a compreensão da organização ministerial e de sua missão constitucional no
contexto da administração pública</t>
  </si>
  <si>
    <t>http://lattes.cnpq.br/3491163418088431</t>
  </si>
  <si>
    <t>N° 054/2013</t>
  </si>
  <si>
    <t>N° 165/2019</t>
  </si>
  <si>
    <t>Especialização em Gestão de Negócios</t>
  </si>
  <si>
    <t>Carlos Sant´anna (difere do PPC)</t>
  </si>
  <si>
    <t>carlos.santanna@upe.br</t>
  </si>
  <si>
    <t xml:space="preserve">Modular </t>
  </si>
  <si>
    <t>N° 110/2015</t>
  </si>
  <si>
    <t>Especialização Avaliação de Políticas Públicas Baseada em Machine Learning</t>
  </si>
  <si>
    <t>Maria Luciana de Almeida</t>
  </si>
  <si>
    <t>lucianalmeida.pe@gmail.com</t>
  </si>
  <si>
    <t>Nº 017/2019</t>
  </si>
  <si>
    <t>Especialização em História do Direito Brasileiro</t>
  </si>
  <si>
    <t>Marcelo Casseb Continentino</t>
  </si>
  <si>
    <t>Nº 022/2019</t>
  </si>
  <si>
    <t>Especialização em Gênero e Relações Éticos-Raciais</t>
  </si>
  <si>
    <t>Giorge Andre Lando</t>
  </si>
  <si>
    <t>giorge.lando@upe.br</t>
  </si>
  <si>
    <t>Nº 150/2019</t>
  </si>
  <si>
    <t>Especialização em Direito da Saúde e Saúde Suplementar</t>
  </si>
  <si>
    <t>Nº 161/2019</t>
  </si>
  <si>
    <t>Especialização em gestão publica estadual</t>
  </si>
  <si>
    <t>MBA em ciencias criminais</t>
  </si>
  <si>
    <t>Direito, Direito Penal e Criminologia</t>
  </si>
  <si>
    <t>José Durval de Lemos Lins Filho</t>
  </si>
  <si>
    <t>MBA em Direito Médico e da Saúde</t>
  </si>
  <si>
    <t>Danilo Heber de Oliveira Gomes</t>
  </si>
  <si>
    <t>Especialização em ouvidoria</t>
  </si>
  <si>
    <t>Ciências Humanas</t>
  </si>
  <si>
    <t>Alexandre Henrique Tavares Saldanha</t>
  </si>
  <si>
    <t>Especialização em gestão escolar</t>
  </si>
  <si>
    <t>Ciências sociais Aplicadas</t>
  </si>
  <si>
    <t>MBA em gestão de escritório de advocacia</t>
  </si>
  <si>
    <t>JULIANA GONÇALVES DE ARAÚJO</t>
  </si>
  <si>
    <t>Especialização em Investigação Criminal EAD</t>
  </si>
  <si>
    <t>Isabele Bandeira de Moraes D'Angelo</t>
  </si>
  <si>
    <t>belebm@hotmail.com</t>
  </si>
  <si>
    <t>Nº080/2021</t>
  </si>
  <si>
    <t>MBA em Direito Processual Civil Estratégico</t>
  </si>
  <si>
    <t>FCM</t>
  </si>
  <si>
    <t>Não passa pelo CEPE</t>
  </si>
  <si>
    <t>Programa de Residência em Anestesiologia</t>
  </si>
  <si>
    <t>FABIOLA</t>
  </si>
  <si>
    <t>residencia.medica.fcm@upe.br</t>
  </si>
  <si>
    <t>2.880h/ano</t>
  </si>
  <si>
    <t>Residência Médica</t>
  </si>
  <si>
    <t>Lei: 6.932 07/07/1981</t>
  </si>
  <si>
    <t>Todas as residências com Edital Aberto</t>
  </si>
  <si>
    <t>Edital</t>
  </si>
  <si>
    <t>Programa de Residência em Cardiologia</t>
  </si>
  <si>
    <t>Programa de Residência em Cirurgia Cardiovascular</t>
  </si>
  <si>
    <t>Programa de Residência em Cirurgia do Aparelho Digestivo</t>
  </si>
  <si>
    <t>Programa de Residência em Transplante de Fígado - Cirurgia do Aparelho Digestivo</t>
  </si>
  <si>
    <t>Programa de Residência em Cirurgia Geral</t>
  </si>
  <si>
    <t>Programa de Residência em Cirúrgica Oncológica</t>
  </si>
  <si>
    <t>Programa de Residência em Cirurgia Torácica - R3</t>
  </si>
  <si>
    <t>Programa de Residência em Cirurgia Torácica</t>
  </si>
  <si>
    <t>Programa de Residência em Clínica Médica</t>
  </si>
  <si>
    <t>Programa de Residência em Dermatologia</t>
  </si>
  <si>
    <t>Programa de Residência em Ecocardiografia</t>
  </si>
  <si>
    <t>Programa de Residência em Eletrofisiologia Clínica Invasiva</t>
  </si>
  <si>
    <t>Programa de Residência em Gastroenterologia</t>
  </si>
  <si>
    <t>Programa de Residência em Geriatria</t>
  </si>
  <si>
    <t>Programa de Residência em Hemodinâmica e Cardiologia Intervencionista</t>
  </si>
  <si>
    <t>Programa de Residência em Infectologia</t>
  </si>
  <si>
    <t>Programa de Residência em Infectologia Pediátrica</t>
  </si>
  <si>
    <t>Programa de Residência em Mastologia</t>
  </si>
  <si>
    <t>Programa de Residência em Medicina de Família e Comunidade</t>
  </si>
  <si>
    <t>Programa de Residência em Neurologia</t>
  </si>
  <si>
    <t>Programa de Residência em Neurologia Pediátrica</t>
  </si>
  <si>
    <t>Programa de Residência em Obstetrícia e Ginecologia</t>
  </si>
  <si>
    <t>Programa de Residência em Oncologia Clínica</t>
  </si>
  <si>
    <t>Programa de Residência em Oncologia Pediátrica</t>
  </si>
  <si>
    <t>Programa de Residência em Pediatria</t>
  </si>
  <si>
    <t>Programa de Residência em Pneumologia</t>
  </si>
  <si>
    <t>Programa de Residência em Programa de Pré Requisito em Área Cirúrgica Básica</t>
  </si>
  <si>
    <t>Programa de Residência em Urologia</t>
  </si>
  <si>
    <t>Programa de Residência Multiprofissional em Saúde Coletiva</t>
  </si>
  <si>
    <t>Lusanira Maria da Fonseca Santa Cruz</t>
  </si>
  <si>
    <t>lusasantacruz@hotmail.com</t>
  </si>
  <si>
    <t>5.760h</t>
  </si>
  <si>
    <t>Residência Multiprofissional</t>
  </si>
  <si>
    <t>Nº 074/2019</t>
  </si>
  <si>
    <t>Turma com previsão para início em 01/03/2021</t>
  </si>
  <si>
    <t>Programa de Residência Multiprofissional em Saúde Mental</t>
  </si>
  <si>
    <t>Maria Bernadete de Cerqueira Antunes</t>
  </si>
  <si>
    <t>mbcantunes@gmail.com</t>
  </si>
  <si>
    <t>058/2019</t>
  </si>
  <si>
    <t>Especialização em Cuidados Paliativos</t>
  </si>
  <si>
    <t>Dione Tavares Maciel</t>
  </si>
  <si>
    <t>dione.maciel@upe.br</t>
  </si>
  <si>
    <t>360h</t>
  </si>
  <si>
    <t>032/2018</t>
  </si>
  <si>
    <t>Especialização em Gastroenterologia</t>
  </si>
  <si>
    <t>Leila Maria Moreira Beltrão Pereira</t>
  </si>
  <si>
    <t>leilapereira@pq.cnpq.br</t>
  </si>
  <si>
    <t>(81) 9.9133-0666</t>
  </si>
  <si>
    <t>1.920h</t>
  </si>
  <si>
    <t xml:space="preserve">Parcial </t>
  </si>
  <si>
    <t>Incentivar o desenvolvimento de trabalhos científicos em áreas específicas da Gastrohepatologia; Proporcionar atividades em ambulatórios especializados nas áreas de Hepatites Virais, Hepatologia Geral e Transplante Hepático; Proporcionar atividades no setor de Radiologia, com a tomografia Computadorizada e a Ressonância Nuclear Magnética; Proporcionar treinamento em procedimentos como Biópsia Hepática guiada por USG de Abdome, Esclerose e/ou Ligadura Elástica nas varizes de Esôfago e de fundo Gástrico referentes à Gastropatia Hipertensiva Portal durante Endoscopia Digestiva Alta.</t>
  </si>
  <si>
    <t>http://lattes.cnpq.br/6962312823063593</t>
  </si>
  <si>
    <t xml:space="preserve">Monografia </t>
  </si>
  <si>
    <t>23</t>
  </si>
  <si>
    <t>EM BRANCO</t>
  </si>
  <si>
    <t xml:space="preserve">EM BRANCO </t>
  </si>
  <si>
    <t>N° 010/2022</t>
  </si>
  <si>
    <t>Previsão para inicio da nova turma: 05/04/2021</t>
  </si>
  <si>
    <t>Especialização em Gastroenterologia e Procedimentos avançados</t>
  </si>
  <si>
    <t>(81) 9.9133-0667</t>
  </si>
  <si>
    <t>960h</t>
  </si>
  <si>
    <t>Formação de médicos especialistas, capazes de exercer atividade diagnóstica, preventiva e
terapêutica; Incentivar o desenvolvimento de trabalhos científicos em áreas específicas; Proporcionar aos pós-graduandos do curso de especialização em Gastroenterologia e Procedimentos Avançados da FCM/UPE um conhecimento mais profundo em áreas da Hepatologia, Gastroenterologia e Procedimentos como Biópsia hepática, Radioablação, PhMetria e Manometria.</t>
  </si>
  <si>
    <t>11</t>
  </si>
  <si>
    <t>N° 047/2014</t>
  </si>
  <si>
    <t>N° 011/2022</t>
  </si>
  <si>
    <t>Especialização em Hemodinâmica e Cardiologia Intervencionista (CURSO ENCERRADO)</t>
  </si>
  <si>
    <t>Nelson Antônio Moura de Araújo</t>
  </si>
  <si>
    <t>5.280h</t>
  </si>
  <si>
    <t>076/2014</t>
  </si>
  <si>
    <t>Não houveram turmas abertas em 2020</t>
  </si>
  <si>
    <t>Especialização em Cardiologia (CURSO ENCERRADO)</t>
  </si>
  <si>
    <t>Dário Celestino Sobral Filho</t>
  </si>
  <si>
    <t>Especialização em Arritmias Cardíacas</t>
  </si>
  <si>
    <t>2.820h</t>
  </si>
  <si>
    <t>160/2019</t>
  </si>
  <si>
    <t>Especialização em Neurologia Cognitiva e Comportamental</t>
  </si>
  <si>
    <t xml:space="preserve">Paulo Roberto de Brito Marques </t>
  </si>
  <si>
    <t>paulobritoneurologia@gmail.com</t>
  </si>
  <si>
    <t>(81) 9.9964-4264</t>
  </si>
  <si>
    <t>Os alunos terão que: 1. Identificar os sintomas das doenças neurodegenerativas; 2. Diferenciar os sintomas quando funcionais ou patológicos; 3. Perceber o perfil de personalidade do paciente; 4. Diferenciar entre transtorno de personalidade e doença neurológica; 5. Realizar avaliação cognitiva de acordo com a síndrome; 6. Fazer diagnósticos de síndromes demenciais. 7. Gerenciar o curso clínico das demências; 8. Tratar e conduzir as complicações clínicas das demências; 9. Facilitar a inclusão de tratamento não farmacológico; 10. Acolher a família e cuidadores de pacientes dementes.</t>
  </si>
  <si>
    <t>http://lattes.cnpq.br/6886656870702250</t>
  </si>
  <si>
    <t xml:space="preserve">Artigo Científico </t>
  </si>
  <si>
    <t>N° 083/2022</t>
  </si>
  <si>
    <t>Especialização em Doenças Valvares</t>
  </si>
  <si>
    <t>Maria das Neves Dantas da Silveira Barros</t>
  </si>
  <si>
    <t>mndantas@hotmail.com.br</t>
  </si>
  <si>
    <t>(81)9.8782-2904</t>
  </si>
  <si>
    <t>2340h</t>
  </si>
  <si>
    <t>O Curso de doenças valvares tem como objetivos capacitar o medico especialista em cardiologia para as seguintes atribuições: Reconhecer e tratar adequadamente os perfis clínico-hemodinâmicos de doenças valvares que se apresentem na prática clínica; Saber diagnosticar e tratar endocardite infecciosa e febre reumática; Identificar as principais doenças valvares para cirurgia e intervenção percutânea; Saber indicar, contra indicar e manejar um paciente em pré e pós operatório de doençasvalvares.</t>
  </si>
  <si>
    <t>http://lattes.cnpq.br/3604533312154051</t>
  </si>
  <si>
    <t>N° 123/2022</t>
  </si>
  <si>
    <t>Especialização em Insuficiência Cardíaca e Miocardiopatias</t>
  </si>
  <si>
    <t>dsobral@uol.com.br</t>
  </si>
  <si>
    <t>2330h</t>
  </si>
  <si>
    <t xml:space="preserve">O Curso de Insuficiência cardíaca tem como objetivos capacitar o medico especialista em cardiologia para as seguintes atribuições: Reconhecer e tratar adequadamente os perfis clínico-hemodinâmicos de insuficiência cardíaca que se apresentem na prática clínica; Conhecer as diversas formas de miocardiopatias e pericardiopatias, estando apto a realizar o seu diagnóstico e tratamento específico; Saber indicar, contra indicar e manejar um paciente em pré e pós operatório de transplante cardíaco; Conhecer os dispositivos de assistência circulatória mecânica, suas indicações e contra indicações e diferenças no manejo de cada um desses dispositivos.
</t>
  </si>
  <si>
    <t>http://lattes.cnpq.br/1797690171713869</t>
  </si>
  <si>
    <t>N° 012/2022</t>
  </si>
  <si>
    <t>Especialização em Geriatria e envelhecimento ativo</t>
  </si>
  <si>
    <t>Alexandre de Mattos Gomes</t>
  </si>
  <si>
    <t>Hibrido</t>
  </si>
  <si>
    <t>Especialização em Doença arterial coronária</t>
  </si>
  <si>
    <t>JOSÉ GILDO DE MOURA MONTEIRO JÚNIOR,</t>
  </si>
  <si>
    <t>Especialização em ecocardiografia pediátrica</t>
  </si>
  <si>
    <t>Especialização em gestão em saúde</t>
  </si>
  <si>
    <t>Márcia Andréa Oliveira da Cunha</t>
  </si>
  <si>
    <t>Neurologia Cognitiva e Comportamental</t>
  </si>
  <si>
    <t>Prof. Paulo Roberto de Brito Marques,</t>
  </si>
  <si>
    <t>Especialização Interprofissional em cuidados paliativos</t>
  </si>
  <si>
    <t>Alexsandra Maria Siqueira Campos de Almeida</t>
  </si>
  <si>
    <t>FENSG</t>
  </si>
  <si>
    <t>Programa de Residência em Enfermagem em Psiquiatria – Hospital Ulisses Pernambucano</t>
  </si>
  <si>
    <t>Edilene Maria da Silva Barbosa</t>
  </si>
  <si>
    <t>edilene.barbosa@upe.br</t>
  </si>
  <si>
    <t>Residência</t>
  </si>
  <si>
    <t>Programa de Residência em Enfermagem em Atendimento Pré-Hospitalar - SAMU</t>
  </si>
  <si>
    <t>Elizabeth de Souza Amorim</t>
  </si>
  <si>
    <t>amorim_elizabeth@yahoo.com.br</t>
  </si>
  <si>
    <t>Programa de Residência em Enfermagem em Cardiologia – Hospital Agamenon Magalhães</t>
  </si>
  <si>
    <t>Izabel Barros de Arruda</t>
  </si>
  <si>
    <t>izabelarruda@terra.com.br</t>
  </si>
  <si>
    <t>Programa de Residência em Enfermagem Clínica e Cirúrgica - Hospital Agamenon Magalhães</t>
  </si>
  <si>
    <t>Letícia Moura Mulatinho</t>
  </si>
  <si>
    <t>leticia@mulatinho.net</t>
  </si>
  <si>
    <t>Programa de Residência em Enfermagem Obstétrica - Hospital Agamenon Magalhães</t>
  </si>
  <si>
    <t>Maria Suely Medeiros Corrêa</t>
  </si>
  <si>
    <t>msuelycorrea@gmail.com</t>
  </si>
  <si>
    <t>Programa de Residência em Enfermagem em Infectologia – Hospital Universitário Oswaldo Cruz</t>
  </si>
  <si>
    <t>Magaly Bushatsky</t>
  </si>
  <si>
    <t>magalybush@gmail.com</t>
  </si>
  <si>
    <t>Programa de Residência em Enfermagem em Oncologia – Hospital Universitário Oswaldo Cruz</t>
  </si>
  <si>
    <t>Programa de Residência em Enfermagem Obstétrica – CISAM</t>
  </si>
  <si>
    <t>Maria Lúcia Menezes Frota</t>
  </si>
  <si>
    <t>maria.luciamenezes@upe.br</t>
  </si>
  <si>
    <t>Programa de Residência Multiprofissional em Neonatologia - CISAM</t>
  </si>
  <si>
    <t>Ana Virgínia Veríssimo</t>
  </si>
  <si>
    <t>virginia.verissimo@upe.br</t>
  </si>
  <si>
    <t>Programa de Residência em Enfermagem em Centro Cirúrgico – Hospital da Restauração</t>
  </si>
  <si>
    <t>Emanuela Batista Ferreira e Pereira</t>
  </si>
  <si>
    <t>emanuela.tcc@gmail.com</t>
  </si>
  <si>
    <t>Programa de Residência em Enfermagem na Área de Diagnóstico por Imagem – Hospital da Restauração</t>
  </si>
  <si>
    <t>(81) 9.9184-3279</t>
  </si>
  <si>
    <t>Formar profissionais enfermeiros especialistas na área de diagnóstico por imagem
com visão humanista, reflexiva e crítica, qualificado para atuar com competência no
atendimento integral ao paciente adulto e pediátrico, atuando também no preparo de
pacientes críticos, de alta complexidade e com necessidade de realização de exames
diagnósticos com ou sem necessidade de contraste e sedação, na prevenção de
intercorrências associadas ao contraste e sedação, na gerência de serviços de imagem, no
ensino, na pesquisa, de acordo com os princípios do Sistema Único de Saúde (SUS) e da
Política Nacional de Humanização, pressupostos fundamentais para a implementação da
Rede de Atenção das Urgências e Emergências.</t>
  </si>
  <si>
    <t xml:space="preserve"> http://lattes.cnpq.br/5544280986311367</t>
  </si>
  <si>
    <t>N° 009/2021</t>
  </si>
  <si>
    <t>Programa de Residência em Enfermagem em Emergência Geral – Hospital da Restauração</t>
  </si>
  <si>
    <t>Vânia Chagas da Costa</t>
  </si>
  <si>
    <t>vania.costa@upe.br</t>
  </si>
  <si>
    <t>Programa de Residência em Enfermagem em Neurologia/Neurocirurgia – Hospital da Restauração</t>
  </si>
  <si>
    <t>Maria de Fátima Valter</t>
  </si>
  <si>
    <t>Programa de Residência em Enfermagem em Unidade de Terapia Intensiva – Hospital da Restauração</t>
  </si>
  <si>
    <t>014/2013</t>
  </si>
  <si>
    <t>Programa de Residência em Enfermagem Cardiovascular – PROCAPE</t>
  </si>
  <si>
    <t>Simone Maria Muniz da Silva Bezerra</t>
  </si>
  <si>
    <t>simone.muniz@upe.br</t>
  </si>
  <si>
    <t>Programa de Residência em Multiprofissional em Atenção Cardiovascular – PROCAPE</t>
  </si>
  <si>
    <t>(81) 9.8836-2467</t>
  </si>
  <si>
    <t>Especializar profissionais do campo da saúde para atuarem em serviços assistenciais na área especializada Cardiovascular, de modo a desenvolverem competências no âmbito do planejamento, execução e coordenação de práticas de saúde, com visão humanista, reflexiva e crítica, qualificando-os para atuar com competência na área específica de formação. Em uma perspectiva inter e transdisciplinar, tomando como referência os princípios da integralidade do cuidado, multiprofissionalidade, trabalho em equipe, de acordo com a Política Nacional de Humanização.</t>
  </si>
  <si>
    <t>http://lattes.cnpq.br/0722783724229470</t>
  </si>
  <si>
    <t>N° 10/2021</t>
  </si>
  <si>
    <t>Programa de Residência em Enfermagem em Hematologia/Hematoterapia – HEMOPE</t>
  </si>
  <si>
    <t>Tânia Maria Rocha Guimarães</t>
  </si>
  <si>
    <t>tmrguimaraes@gmail.com</t>
  </si>
  <si>
    <t>010/2013</t>
  </si>
  <si>
    <t>Programa de Residência em Multiprofissional em Saúde da Família com Ênfase em Saúde do Campo - Unidade de Sáude da Família da Zona Rural de Caruaru e Petrolina</t>
  </si>
  <si>
    <t>Itamar Lages</t>
  </si>
  <si>
    <t>itamarlages@yahoo.com.br</t>
  </si>
  <si>
    <t>023/2015</t>
  </si>
  <si>
    <t>Especialização em Enfermagem em Nefrologia - FENSG</t>
  </si>
  <si>
    <t>Maria das Neves Figueiroa</t>
  </si>
  <si>
    <t>420H</t>
  </si>
  <si>
    <t>003/2017</t>
  </si>
  <si>
    <t>Especialização em Enfermagem em Saúde da Família - FENSG</t>
  </si>
  <si>
    <t>Raphaela Delmondes</t>
  </si>
  <si>
    <t>480h</t>
  </si>
  <si>
    <t>041/2011</t>
  </si>
  <si>
    <t>Enfermagem em Suporte Avançado à Vida: Emergência e UTI - FENSG</t>
  </si>
  <si>
    <t>Betise Mery Alencar Sousa Macau Furtado</t>
  </si>
  <si>
    <t>betisemery@gmail.com</t>
  </si>
  <si>
    <t>094/2016</t>
  </si>
  <si>
    <t>Especialização em Enfermagem em Estomaterapia</t>
  </si>
  <si>
    <t>Isabel Cristina Ramos Vieira Santos</t>
  </si>
  <si>
    <t>120/2018</t>
  </si>
  <si>
    <t>Programa de Residência Multiprofissional em Saúde da Família do Campo</t>
  </si>
  <si>
    <t>itamar.lages@upe.br</t>
  </si>
  <si>
    <t>(81) 9.9962-0932</t>
  </si>
  <si>
    <t>4.660h</t>
  </si>
  <si>
    <t>Formar especialistas em atenção primária à saúde pela modalidade da residência, em pleno processo de trabalho com as Equipes de Unidades de Saúde da Família, tendo em vista à otimização da satisfação das necessidades de saúde e da autonomia das comunidades, das famílias e de cada pessoa que vive no campo tendo como referência os princípios do Sistema Único de Saúde contidos na Lei 8080/1990.</t>
  </si>
  <si>
    <t>http://lattes.cnpq.br/9337159370801893</t>
  </si>
  <si>
    <t>N°124/2022</t>
  </si>
  <si>
    <t>Especialização Gestão em Serviços de Telessaúde: modalidade residência tecnológica</t>
  </si>
  <si>
    <t>Claudinalle Farias Queiroz de Souza</t>
  </si>
  <si>
    <t>FOP</t>
  </si>
  <si>
    <t>Programa de Residência em Cirurgia e TBMF (HUOC)</t>
  </si>
  <si>
    <t>Emanuel Dias de Oliveira e Silva</t>
  </si>
  <si>
    <t>residenciactbmf@upe.br</t>
  </si>
  <si>
    <t>8.640h</t>
  </si>
  <si>
    <t>059/2019</t>
  </si>
  <si>
    <t>Divulgação de abertura através da SES-PE</t>
  </si>
  <si>
    <t>EDITAL</t>
  </si>
  <si>
    <t>Programa de Residência em Cirurgia e TBMF (HR)</t>
  </si>
  <si>
    <t>Belmiro Cavalcanti do Egito Vasconcelos</t>
  </si>
  <si>
    <t>belmiro.vasconcelos@upe.br</t>
  </si>
  <si>
    <t>004/2019</t>
  </si>
  <si>
    <t>Programa de Residência em Cirurgia e TBMF (HGV)</t>
  </si>
  <si>
    <t>Joaquim Celestino</t>
  </si>
  <si>
    <t>joaquimcelestino@hotmail.com</t>
  </si>
  <si>
    <t>098/2019</t>
  </si>
  <si>
    <t>Programa de Residência em Cirurgia e TBMF (HRA)</t>
  </si>
  <si>
    <t>Gabriela Granja Porto</t>
  </si>
  <si>
    <t>gabriela.porto@upe.br</t>
  </si>
  <si>
    <t>(81) 9.9232-3241</t>
  </si>
  <si>
    <t>A Residência em Cirurgia e Traumatologia Buco-Maxilo-Facial tem como objetivo o aperfeiçoamento do cirurgião-dentista em âmbitoambulatorial e hospitalar, contemplando conhecimentos científicos e proficiência técnica, decorrentes do treinamento em servIços gerais e Especializados como o de clínica odontológica e médica, doenças infecto-parasitárias, unidade de terapia intensiva, cirurgia geral, pediatria, oncologia, entre outros; priorizando a formação ética e bioética dentro dos princípios que norteiam a especialidade e a humanização no atendimento, de modo que o paciente tenha uma assistência que contemple a sua integração sócio-econômica-cultural.</t>
  </si>
  <si>
    <t>http://lattes.cnpq.br/5076393385826777</t>
  </si>
  <si>
    <t>Artigo Científico - Monografia</t>
  </si>
  <si>
    <t>N° 006/2021</t>
  </si>
  <si>
    <t>Residencia em Cirurgia Traumatologia Buco-Maxilo-Facial (HCP)</t>
  </si>
  <si>
    <t>Belmino Carlos Amaral Torres</t>
  </si>
  <si>
    <t>8.640 horas</t>
  </si>
  <si>
    <t>Programa de Residência em Odontologia com Enfoque em Oncologia (HUOC)</t>
  </si>
  <si>
    <t>Aurora Karla de Lacerda Vidal</t>
  </si>
  <si>
    <t>aurora.vidal@upe.br</t>
  </si>
  <si>
    <t>(81) 9.9977-5529</t>
  </si>
  <si>
    <t>Proporcionar ao egresso conhecimento técnico-científico de forma global e específica, crítica e propositiva, técnico, ético e político, no âmbito da Assistência Odontológica Hospitalar e Oncológica.</t>
  </si>
  <si>
    <t>http://lattes.cnpq.br/7602618181502797</t>
  </si>
  <si>
    <t>N°005/2023</t>
  </si>
  <si>
    <t>Especialização em Cirurgia e TBMF (HUOC)</t>
  </si>
  <si>
    <t>8.264h</t>
  </si>
  <si>
    <t>060/2019</t>
  </si>
  <si>
    <t>Previsão de abertura para janeiro de 2022</t>
  </si>
  <si>
    <t>www.upe.br/fop</t>
  </si>
  <si>
    <t>Especialização em Ortodontia</t>
  </si>
  <si>
    <t>Priscila Prosini</t>
  </si>
  <si>
    <t>priscila.prosini@upe.br</t>
  </si>
  <si>
    <t>(81) 9.8803-3749</t>
  </si>
  <si>
    <t>1632h</t>
  </si>
  <si>
    <t>Modular</t>
  </si>
  <si>
    <t>Formar alunos capacitados a executar todos os tipos de tratamento dentro das mais atuais técnicas da especialidade, bem como executar trabalhos científicos em benefício da população e da odontologia.</t>
  </si>
  <si>
    <t>http://lattes.cnpq.br/9996704738624774</t>
  </si>
  <si>
    <t>1</t>
  </si>
  <si>
    <t>N° 099/2019</t>
  </si>
  <si>
    <t>Especialização em Dentística</t>
  </si>
  <si>
    <t>Rodivan Braz</t>
  </si>
  <si>
    <t>065/2013</t>
  </si>
  <si>
    <t>Especialização em Disfunção Temporomandinbular e Dor Orofacial</t>
  </si>
  <si>
    <t>Maurício Kosminsky</t>
  </si>
  <si>
    <t>058/2013</t>
  </si>
  <si>
    <t xml:space="preserve">Especialização em Habilitação em Odontologia Hospitalar </t>
  </si>
  <si>
    <t>370h</t>
  </si>
  <si>
    <t>Híbrido</t>
  </si>
  <si>
    <t>Capacitar cirurgiões-dentistas para que possam atuar em ambiente hospitalar e/ou em domicílio a fim de propiciar o cuidado odotnotlógico ao usuário adulto e/ou pediátrico, e promover a saúde bucal e integral com consequente melhoria da assistência hospitalar/domiciliar baseada nas boas práticas em saúde.</t>
  </si>
  <si>
    <t>10</t>
  </si>
  <si>
    <t>N°107/2022</t>
  </si>
  <si>
    <t>GARANHUNS</t>
  </si>
  <si>
    <t>Especialização em Saúde Pública</t>
  </si>
  <si>
    <t>Elisangela Ramos Castanha</t>
  </si>
  <si>
    <t>elisangela.castanha@upe.br</t>
  </si>
  <si>
    <t>(81) 997850997</t>
  </si>
  <si>
    <t>420h</t>
  </si>
  <si>
    <t>Qualificar profissionais de diferentes áreas relacionadas à saúde, fornecendo conhecimentos que possibilitem exercitar ações de Atenção à saúde, de forma regionalizada, interdisciplinar e integrada, articulada com os diferentes níveis de gestão e de atenção do Sistema Único de Saúde</t>
  </si>
  <si>
    <t>http://lattes.cnpq.br/9831904836802638</t>
  </si>
  <si>
    <t>Monografia; Artigo Científico; Registro de Produto ou Software; Outra: Projeto de intervenção, plano de trabalho. material de educação em saúde, etc.</t>
  </si>
  <si>
    <t>201,600,00</t>
  </si>
  <si>
    <t>110/2015</t>
  </si>
  <si>
    <t>Especialização em Saúde Pública - Polo Cupira</t>
  </si>
  <si>
    <t>Rosângela Alves Estevão Falcão</t>
  </si>
  <si>
    <t>rosangela.falcao@upe.br</t>
  </si>
  <si>
    <t>Especialização em Psicopedagogia</t>
  </si>
  <si>
    <t>Josaniel Vieira</t>
  </si>
  <si>
    <t>josaniel.vieira@upe.br</t>
  </si>
  <si>
    <t>Especialização em Gestão Estratégica com Pessoas</t>
  </si>
  <si>
    <t>Érika de Souza</t>
  </si>
  <si>
    <t>&lt;erika.mendonca@upe.br</t>
  </si>
  <si>
    <t>063/2017</t>
  </si>
  <si>
    <t>Especialização em Administração Pública e Direito Legislativo</t>
  </si>
  <si>
    <t>Isabele.dangelo@upe.br</t>
  </si>
  <si>
    <t>073/2018</t>
  </si>
  <si>
    <t>Humberto Gomes Vidal</t>
  </si>
  <si>
    <t>humberto.vidal@upe.br</t>
  </si>
  <si>
    <t>007/2019</t>
  </si>
  <si>
    <t>Especialização em Educação Infantil</t>
  </si>
  <si>
    <t>030/2016</t>
  </si>
  <si>
    <t>Especialização em Educação no Campo e do Meio Ambiente</t>
  </si>
  <si>
    <t>Rosângela Estevão Alves Falcão, Doutora</t>
  </si>
  <si>
    <t>(87) 9.8808-0509</t>
  </si>
  <si>
    <t>Promover a especialização de professores, propiciando práticas pedagógicas em Educação Rural, do Campo e de Meio-ambiente, voltadas para o desenvolvimento das competências necessárias para um ensino sintonizado com dinamismo e as necessidades da sociedade atual, notadamente no que tange ao espaço do campo e sua interface com o espaço urbano.</t>
  </si>
  <si>
    <t>http://lattes.cnpq.br/5946518736077473</t>
  </si>
  <si>
    <t>Monografia - Artigo Científico - Registro de Produto ou Software - Projeto de Intervenção</t>
  </si>
  <si>
    <t>N° 041/2022</t>
  </si>
  <si>
    <t>Programa de Residência Multiprofissional Saúde Mental</t>
  </si>
  <si>
    <t>Suely Emília de Barros Santos</t>
  </si>
  <si>
    <t>suely.emilia@upe.br</t>
  </si>
  <si>
    <t>073/2016</t>
  </si>
  <si>
    <t>9h do dia 05 de dezembro de 2020 até as 23h59min do dia 27 de dezembro de 2020.</t>
  </si>
  <si>
    <t>http://www.upenet.com.br/,</t>
  </si>
  <si>
    <t>Programa de Residência Multiprofissional Integrada em Saúde Coletiva com Ênfase em Agroecologia</t>
  </si>
  <si>
    <t>Wanessa da Silva Gomes</t>
  </si>
  <si>
    <t>wanessa.gomes@upe.br</t>
  </si>
  <si>
    <t>077/2020</t>
  </si>
  <si>
    <t xml:space="preserve">Curso de Especialização em Ensino de Língua Portuguesa e suas Literaturas </t>
  </si>
  <si>
    <t xml:space="preserve">Linguística, Letras e Artes </t>
  </si>
  <si>
    <t>Fernando Augusto de Lima Oliveira</t>
  </si>
  <si>
    <t>fernando.oliveira@upe.br</t>
  </si>
  <si>
    <t>(82) 9.8812-7070</t>
  </si>
  <si>
    <t>450h</t>
  </si>
  <si>
    <t>À Distância</t>
  </si>
  <si>
    <t>em branco</t>
  </si>
  <si>
    <t>Promover a especialização de professores de Língua Portuguesa, propiciando práticas pedagógicas em Língua e Literatura voltadas para o desenvolvimento das competências necessárias para um ensino sintonizado com o dinamismo e as necessidades da sociedade atual.</t>
  </si>
  <si>
    <t>http://lattes.cnpq.br/2537203877318701</t>
  </si>
  <si>
    <t>N°015/2023</t>
  </si>
  <si>
    <t>Especialização em Atendimento Educacional Especializado “Lato Sensu”</t>
  </si>
  <si>
    <t>Ciências Humanas/Educação</t>
  </si>
  <si>
    <t>Jacqueline Travassos de Queiroz</t>
  </si>
  <si>
    <t>Especialização em Psicopedagogia Institucional</t>
  </si>
  <si>
    <t>Rosângela Estevão Alves Falcão</t>
  </si>
  <si>
    <t>Fundamentos, práticas de Alfabetização e Letramento na Educação de Jovens e Adultos</t>
  </si>
  <si>
    <t>Prof. Dr. Josaniel Vieira da Silva</t>
  </si>
  <si>
    <t>ICB</t>
  </si>
  <si>
    <t>Especialização em Microbiologia Clínica</t>
  </si>
  <si>
    <t>Ciências Biológicas</t>
  </si>
  <si>
    <t>Maria Luísa Neves</t>
  </si>
  <si>
    <t>mlcneves@uol.com.br</t>
  </si>
  <si>
    <t>002/2012</t>
  </si>
  <si>
    <t>Programa de Residência em Psicologia e Saúde Mental</t>
  </si>
  <si>
    <t>Cências Humanas</t>
  </si>
  <si>
    <t>Charmênia Maria Braga Cartaxo</t>
  </si>
  <si>
    <t>charmenia.cartaxo@upe.br</t>
  </si>
  <si>
    <t>063/2012</t>
  </si>
  <si>
    <t>Programa de Residência em Nutrição Clínica - PROCAPE</t>
  </si>
  <si>
    <t>Ana Célia Oliveira dos Santos</t>
  </si>
  <si>
    <t>ana.oliveira@upe.br</t>
  </si>
  <si>
    <t>066/2013</t>
  </si>
  <si>
    <t>Programa de Residência em Nutrição Clínica do Hospital Universitário Oswaldo Cruz</t>
  </si>
  <si>
    <t>067/2013</t>
  </si>
  <si>
    <t>Programa de Residência em Nutrição Clínica do Hospital da Restauração</t>
  </si>
  <si>
    <t>(81) 9.9978-8103</t>
  </si>
  <si>
    <t>Proporcionar condições que permitam ao graduado em Nutrição, o desempenho de atividades específicas na área de nutrição clínica, estimulando a capacidade de aprendizagem independente, e de participação em programas de educação continuadae educação em saúde; Oferecer formação específica aos nutricionistas, nos moldes de treinamento em serviço,visando o conhecimento dos instrumentos teóricos, metodológicos e técnicos empregados no campo profissional da nutrição clínica; Proporcionar condições que permitam ao graduado em Nutrição, o desempenho de atividades específicas na área de Nutrição Clínica, estimulando a capacidade de aprendizagem independente, e de participação em programas de educação continuada e educação em saúde.</t>
  </si>
  <si>
    <t>http://lattes.cnpq.br/8655880498138115</t>
  </si>
  <si>
    <t>N°039/2023</t>
  </si>
  <si>
    <t>Programa de Residência Multiprofissional em Urgência, Emergência e Trauma - HGV</t>
  </si>
  <si>
    <t>Silvana de Fátima Ferreira da Silva Caires</t>
  </si>
  <si>
    <t>silvana.ferreira@upe.br</t>
  </si>
  <si>
    <t>(81) 9.9961-7364</t>
  </si>
  <si>
    <t>Capacitar profissionais das áreas de: Fisioterapia, Psicologia, Serviço Social,
Biomedicina e Enfermagem, na área de concentração em Urgência, Emergência e Trauma
por meio da educação em serviço, para atuarem em equipe interdisciplinar na assistência a
Rede de Atenção às Urgências no Sistema Único de Saúde (SUS), suprindo dessa
maneira a necessidade de formação profissional no Estado.</t>
  </si>
  <si>
    <t>http://lattes.cnpq.br/2689883591362147</t>
  </si>
  <si>
    <t>Monografia - Artigo Científico - Construção de Protocolos e Procedimentos</t>
  </si>
  <si>
    <t>065/2014</t>
  </si>
  <si>
    <t>N° 024/2021</t>
  </si>
  <si>
    <t>Programa de Residência em Planejamento e Gestão em Serviços Farmacêuticos - HR</t>
  </si>
  <si>
    <t>Genilda Mendes Pereira</t>
  </si>
  <si>
    <t>genildamendes@uol.com.br</t>
  </si>
  <si>
    <t xml:space="preserve">Oferecer condições para que o graduado possa aprimorar suas habilidades administrativas, assistenciais, de ensino e pesquisas, através da correlação entre a teoria e prática, qualificando-se para um planejamento de ações e serviço de Assistência farmacêutica. </t>
  </si>
  <si>
    <t>http://lattes.cnpq.br/5384617087984556</t>
  </si>
  <si>
    <t>N° 055/2021</t>
  </si>
  <si>
    <t>Residência em Planejamento e Gestão de Serviços Farmacêuticos- HEMOPE</t>
  </si>
  <si>
    <t>Programa de Residência em Farmácia da Fundação Hemope</t>
  </si>
  <si>
    <t>Genilda Mendes</t>
  </si>
  <si>
    <t>5760H</t>
  </si>
  <si>
    <t>027/2014</t>
  </si>
  <si>
    <t>Programa de Residência Multiprofissional em Cuidados Paliativos em Saúde</t>
  </si>
  <si>
    <t>José Anchieta de Brito</t>
  </si>
  <si>
    <t>anchietabrito@gmail.com</t>
  </si>
  <si>
    <t>084/2014</t>
  </si>
  <si>
    <t>Programa de Residência em Odontologia Hospitalar com Enfoque em Oncologia –ICB/HUOC/UPE</t>
  </si>
  <si>
    <t>aurorakarla@gmail.com</t>
  </si>
  <si>
    <t>095/2015</t>
  </si>
  <si>
    <t>Nº 05/2023</t>
  </si>
  <si>
    <t>Residência Uniprofissional em Odontologia
Patologia Oral e Maxilofacial Instituto de Ciências Biológicas - ICB/UPE
Centro Integrado de Anatomia Patológica do Hospital Universitário Oswaldo Cruz –
CIAP/HUOC/UPE</t>
  </si>
  <si>
    <t>Ana Paula Veras Sobral</t>
  </si>
  <si>
    <t>Genética e Biologia Molecular</t>
  </si>
  <si>
    <t>Ciências biológicas</t>
  </si>
  <si>
    <t>Eliane Campos Coimbra</t>
  </si>
  <si>
    <t>Especialização em atenção multiprofissional em transtorno do espectro do autismo</t>
  </si>
  <si>
    <t>MATA NORTE</t>
  </si>
  <si>
    <t>Especialização em Finanças e Controladoria Pública</t>
  </si>
  <si>
    <t>024/2019</t>
  </si>
  <si>
    <t>Especialização em Educação Especial na Perspectiva Inclusiva</t>
  </si>
  <si>
    <t>046/2017</t>
  </si>
  <si>
    <t>Especialização em Educação Especial  Inclusiva</t>
  </si>
  <si>
    <t>Mirtes Ribeiro de Lira</t>
  </si>
  <si>
    <t>Híbrida</t>
  </si>
  <si>
    <t>025/2021</t>
  </si>
  <si>
    <t>Educação Especial Inclusiva (EAD)</t>
  </si>
  <si>
    <t>Especialização em Gestão Educacional e Coordenação Pedagógica</t>
  </si>
  <si>
    <t>008/2018</t>
  </si>
  <si>
    <t>Especialização em Ensino da Língua Inglesa</t>
  </si>
  <si>
    <t>Linguística, Letras e Artes</t>
  </si>
  <si>
    <t>012/2016</t>
  </si>
  <si>
    <t>Especialização em Gestão Pública</t>
  </si>
  <si>
    <t>037/2016</t>
  </si>
  <si>
    <t>Especialização em Gestão Pública - EAD</t>
  </si>
  <si>
    <t>096/2017</t>
  </si>
  <si>
    <t>Especialização em Gestão Ambiental</t>
  </si>
  <si>
    <t>049/2015</t>
  </si>
  <si>
    <t>Especialização em Logística Empresarial</t>
  </si>
  <si>
    <t>050/2015</t>
  </si>
  <si>
    <t>Especialização em Ensino de Língua e Literaturas de Língua Espanhola</t>
  </si>
  <si>
    <t>039/2017</t>
  </si>
  <si>
    <t>Especialização em Práticas Pedagógicas no Ensino de Língua e Literaturas de Língua Portuguesa</t>
  </si>
  <si>
    <t>031/2017</t>
  </si>
  <si>
    <t>Especialização em Docência do Ensino Básico para Docência da Educação Básica</t>
  </si>
  <si>
    <t>031/2018</t>
  </si>
  <si>
    <t>Especialização em Docência do ensino Superior</t>
  </si>
  <si>
    <t>073/2017</t>
  </si>
  <si>
    <t>Especialização em Docência da Educação Básica</t>
  </si>
  <si>
    <t>009/2018</t>
  </si>
  <si>
    <t>Especialização em Linguística aplicada ao Ensino de Língua Portuguesa</t>
  </si>
  <si>
    <t>128/2019</t>
  </si>
  <si>
    <t>Especialização em Estudos Linguísticos em alfabetização e Letramento</t>
  </si>
  <si>
    <t>096/2019</t>
  </si>
  <si>
    <t>Especialização em Libras</t>
  </si>
  <si>
    <t>043/2018</t>
  </si>
  <si>
    <t>048/2017</t>
  </si>
  <si>
    <t>Especialização Residência Intersetorial Primeira Infância</t>
  </si>
  <si>
    <t>MBA em Inovação e Tecnologias Avançadas para Gestão</t>
  </si>
  <si>
    <t>Multidisciplinar</t>
  </si>
  <si>
    <t>Luanda Regina Reis Lima</t>
  </si>
  <si>
    <t>Especialização em Ensino de Geografia “Lato Sensu”.</t>
  </si>
  <si>
    <t>Educação/Ciências Humanas/Geografia</t>
  </si>
  <si>
    <t>Ana Regina Marinho</t>
  </si>
  <si>
    <t>MATA SUL</t>
  </si>
  <si>
    <t>PETROLINA</t>
  </si>
  <si>
    <t>Especialização em Análises Clínicas</t>
  </si>
  <si>
    <t>Edivaldo Xavier</t>
  </si>
  <si>
    <t>edivaldo.junior@upe.br</t>
  </si>
  <si>
    <t>075/2015</t>
  </si>
  <si>
    <t>Evanilson Landim Alves</t>
  </si>
  <si>
    <t>evanilson.landim@upe.br</t>
  </si>
  <si>
    <t>(81) 9.9532-0091</t>
  </si>
  <si>
    <t>Formar especialistas aptos para atuarem junto aos estudantes com deficiência,
conforme as perspectivas da Educação Inclusiva;</t>
  </si>
  <si>
    <t>http://lattes.cnpq.br/4578456189518357</t>
  </si>
  <si>
    <t>N°016/2023</t>
  </si>
  <si>
    <t>Carlos Eduardo Romeiro</t>
  </si>
  <si>
    <t>cadu_ropi@ig.com.br</t>
  </si>
  <si>
    <t>059/2010</t>
  </si>
  <si>
    <t>Residência em Fisioterapia em Terapia Intensiva</t>
  </si>
  <si>
    <t>Victor Ribeiro Neves</t>
  </si>
  <si>
    <t>victor.neves@upe.br</t>
  </si>
  <si>
    <t>(87) 9.9921-9006</t>
  </si>
  <si>
    <t>Capacitar, atualizar e aperfeiçoar os fisioterapeutas nos aspectos teóricos e
práticos, permitindo o desenvolvimento do diagnostico cinesiológico
pneumofuncional e de projetos terapêuticos voltados aos pacientes portadores de
lesões e/ou doenças graves e instáveis, satisfazendo às demandas da saúde
funcional com eficácia e redução importante de riscos, em uma clientela que
apresenta quadros limítrofes.</t>
  </si>
  <si>
    <t>http://lattes.cnpq.br/3476550607994320</t>
  </si>
  <si>
    <t>067/2020</t>
  </si>
  <si>
    <t>Especialização em Saúde Coletiva para Educação Básica</t>
  </si>
  <si>
    <t>Iracema Hermes Pires de Melo Montenegro</t>
  </si>
  <si>
    <t>iracema.montenegro@upe.br</t>
  </si>
  <si>
    <t>088/2018</t>
  </si>
  <si>
    <t>Especialização em Língua Portuguesa: uma perspectiva didática</t>
  </si>
  <si>
    <t>Rossana Regina Guimarães Ramos Henz</t>
  </si>
  <si>
    <t>rossana.henz@upe.br</t>
  </si>
  <si>
    <t>063/2013</t>
  </si>
  <si>
    <t>Especialização em Língua Portuguesa</t>
  </si>
  <si>
    <t>Isva Maria Modesto Morais de Souza</t>
  </si>
  <si>
    <t>096/2010</t>
  </si>
  <si>
    <t>Especialização em Anatomia Humana</t>
  </si>
  <si>
    <t>Edivaldo Xavier da Silva Júnior</t>
  </si>
  <si>
    <t>095/2016</t>
  </si>
  <si>
    <t>Especialização em Ensino em Geografia</t>
  </si>
  <si>
    <t>Lucas Costa de Souza Cavalcanti</t>
  </si>
  <si>
    <t>Especialização em Educação Ambiental</t>
  </si>
  <si>
    <t>Sidclay Cordeiro Pereira</t>
  </si>
  <si>
    <t>sidclay.pereira@upe.br</t>
  </si>
  <si>
    <t>087/2011</t>
  </si>
  <si>
    <t>Especialização em Ensino de Biologia</t>
  </si>
  <si>
    <t>Rosimary de Carvalho Gomes Moura</t>
  </si>
  <si>
    <t>netanel@uol.com.br</t>
  </si>
  <si>
    <t>Especialização em História do Brasil: Cultura e Poder</t>
  </si>
  <si>
    <t>Harley Abrantes Moreira</t>
  </si>
  <si>
    <t>harley.abrantes@upe.br</t>
  </si>
  <si>
    <t>033/2014</t>
  </si>
  <si>
    <t>Especialização em História: Cultura e Poder</t>
  </si>
  <si>
    <t>Moisés Diniz de Almeida</t>
  </si>
  <si>
    <t>moises.almeida@upe.br</t>
  </si>
  <si>
    <t>044/2018</t>
  </si>
  <si>
    <t>Especialização em Ensino de Matemática</t>
  </si>
  <si>
    <t>Lucília Batista Dantas Pereira</t>
  </si>
  <si>
    <t>lucilia.batista@upe.br</t>
  </si>
  <si>
    <t>035/2018</t>
  </si>
  <si>
    <t>Especialização em Ciências da Linguagem</t>
  </si>
  <si>
    <t>Peterson Martins Alves Araújo</t>
  </si>
  <si>
    <t>peterson.martins@upe.br</t>
  </si>
  <si>
    <t>042/2018</t>
  </si>
  <si>
    <t>Especialização em Docência e Práticas Pedagógicas/Campo em Geografia</t>
  </si>
  <si>
    <t>Raimunda Áurea Dias de Sousa</t>
  </si>
  <si>
    <t>aurea.souza@upe.br</t>
  </si>
  <si>
    <t>032/2017</t>
  </si>
  <si>
    <t>Especialização em Desenvolvimento Sustentável para Educação Básica</t>
  </si>
  <si>
    <t>Elâine Maria dos Santos Ribeiro</t>
  </si>
  <si>
    <t>elaine.ribeiro@upe.br</t>
  </si>
  <si>
    <t>056/2018</t>
  </si>
  <si>
    <t>Especialização em Práticas Pedagógicas em Educação</t>
  </si>
  <si>
    <t>Diego Pires Rocha</t>
  </si>
  <si>
    <t>diroch@gmail.com</t>
  </si>
  <si>
    <t>020/2018</t>
  </si>
  <si>
    <t>Programa de Residência em Fisioterapia Hospitalar com ênfase em Cardiorrespiratória</t>
  </si>
  <si>
    <t>Especialização em Gestão e Coordenação em Educação</t>
  </si>
  <si>
    <t>João Bosco Macêdo</t>
  </si>
  <si>
    <t>jcolho@yahoo.com.br</t>
  </si>
  <si>
    <t>057/2016</t>
  </si>
  <si>
    <t>Programa de Residência Multiprofissional em Saúde da Mulher</t>
  </si>
  <si>
    <t>Ana Eliza Mathias</t>
  </si>
  <si>
    <t>eliza.mathias@upe.br</t>
  </si>
  <si>
    <t xml:space="preserve">Especialização em Educação Especial Inclusiva </t>
  </si>
  <si>
    <t>016/2023</t>
  </si>
  <si>
    <t>Especialização em Agro 4.0</t>
  </si>
  <si>
    <t>Ciências Ambientais</t>
  </si>
  <si>
    <t>Claudemiro de Lima Júnior</t>
  </si>
  <si>
    <t>claudemiro.lima@upe.br</t>
  </si>
  <si>
    <t>16 - 30/09/21</t>
  </si>
  <si>
    <t>Residência em Nutrição em Nutrição Hospitalar nas DCNT.</t>
  </si>
  <si>
    <t>Andréa Marques Sotero</t>
  </si>
  <si>
    <t>POLI</t>
  </si>
  <si>
    <t>Especialização em Gestão da Qualidade e Produtividade</t>
  </si>
  <si>
    <t>Engenharias</t>
  </si>
  <si>
    <t>Francisco Gilfran Alves Milfont</t>
  </si>
  <si>
    <t>Especialização em Engenharia de Segurança do Trabalho</t>
  </si>
  <si>
    <t>Eliane Maria Gorga Lago</t>
  </si>
  <si>
    <t>elianelsht@poli.br</t>
  </si>
  <si>
    <t>(81) 9.9974-2965</t>
  </si>
  <si>
    <t>O curso de especialização, em nível de pós-graduação lato-sensu, de Engenharia de Segurança do Trabalho da Escola Politécnica da Universidade de Pernambuco, tem o objetivo de formar profissionais especializados em segurança e higiene do trabalho, para atuarem em um contexto prevencionista e de proteção ao trabalhador, em todas as instâncias de sua atividade ocupacional e nas diversas etapas dos setores de produção e serviços.</t>
  </si>
  <si>
    <t>http://lattes.cnpq.br/8352968932896657</t>
  </si>
  <si>
    <t>Monografia</t>
  </si>
  <si>
    <t>N°121/2018</t>
  </si>
  <si>
    <t>N 006/2023</t>
  </si>
  <si>
    <t>Especialização em Automação, Controle e Robótica</t>
  </si>
  <si>
    <t>GILBERTO DÊNIS LEITE</t>
  </si>
  <si>
    <t>Especialização em Inspeção, Manutenção e Recuperação de Estruturas</t>
  </si>
  <si>
    <t>Carlos Wellligton de Azevedo Pires Sobrinho</t>
  </si>
  <si>
    <t>carlos.sobrinho@upe.br</t>
  </si>
  <si>
    <t>(81) 9.9701-2715</t>
  </si>
  <si>
    <t>Capacitar profissionais de alto nível, com amplo domínio do conhecimento de todas as etapas de reabilitação de uma edificação, aprimorando-os para o atendimento da atual demanda do mercado.</t>
  </si>
  <si>
    <t>http://lattes.cnpq.br/9095999560647095</t>
  </si>
  <si>
    <t>Artigo Técnico</t>
  </si>
  <si>
    <t>N° 095/2021</t>
  </si>
  <si>
    <t>Especialização em Ciências de Dados e Analytics</t>
  </si>
  <si>
    <t>Alexandre Magno Andrade Maciel</t>
  </si>
  <si>
    <t>alexandre.maciel@upe.br</t>
  </si>
  <si>
    <t>(81) 9.9233-1160</t>
  </si>
  <si>
    <t>Colaborar para a formação de cientistas de dados por meio de conceitos e práticas que permitam a identificação de oportunidades de exploração em grandes volumes de dados a fim de descobrir conhecimento e obter informações aplicáveis em benefício das organizações.</t>
  </si>
  <si>
    <t>http://lattes.cnpq.br/6152592335669549</t>
  </si>
  <si>
    <t>Mografia - Artigo Científico</t>
  </si>
  <si>
    <t>N° 065/2019</t>
  </si>
  <si>
    <t>Residência em Tecnologia em Inteligência Artificial</t>
  </si>
  <si>
    <t>CARMELO JOSÉ ALBANEZ BASTOS</t>
  </si>
  <si>
    <t xml:space="preserve">Clique aqui para ter acesso </t>
  </si>
  <si>
    <t>Especialização Em Energias Solar e Eólica</t>
  </si>
  <si>
    <t>Luis Arturo Gómez Malagón</t>
  </si>
  <si>
    <t>Especialização em Inteligência Artificial</t>
  </si>
  <si>
    <t>Carmelo José Albanez Bastos</t>
  </si>
  <si>
    <t>carmelo.filho@upe.br</t>
  </si>
  <si>
    <t>(81) 9.9108-3450</t>
  </si>
  <si>
    <t>Formar profissionais com habilidades nas técnicas modernas de inteligência artificial (I.A.) comcompetências para utilizar frameworks disponíveis e resolver problemas práticos em empresas detecnologia. O Programa pretende formar residentes recém-formados e profissionais com pelo menos 2anos de experiência para atuarem como líderes das células de desenvolvimento após a formação teórica. Os profissionais formados receberão certificado de Especialista em Inteligência Artificial(Lato Sensu) e poderão ser aproveitados pelas instituições promotoras do Programa e pelo mercado detrabalho.</t>
  </si>
  <si>
    <t>http://lattes.cnpq.br/9745937989094036</t>
  </si>
  <si>
    <t>N° 087/2018</t>
  </si>
  <si>
    <t>Especialização em Virtualização de Redes</t>
  </si>
  <si>
    <t>Ciências Exatas e da Terra</t>
  </si>
  <si>
    <t>Prof. Dr. Paulo Hugo Espírito Santo Lima</t>
  </si>
  <si>
    <t>paulo.hugo@poli.br</t>
  </si>
  <si>
    <t>(81) 9.8899-0668</t>
  </si>
  <si>
    <t>Capacitar profissionais para o uso e desenvolvimento de tecnologias relacionadas a sistemas e serviços de redes virtualizadas, preparando-os o trabalhar prioritariamente com infraestrutura de computação em nuvem. Dessa forma, a execução do curso poderá resultar em ações relevantes para o ambiente das empresas, das universidades, e alinhadas com as políticas e estratégias do governo Federal e de Pernambuco, como a estruturação de um ecossistema para o 5G e a computação em nuvem.</t>
  </si>
  <si>
    <t>http://lattes.cnpq.br/5804569982941990</t>
  </si>
  <si>
    <t>12</t>
  </si>
  <si>
    <t>N° 094/2021</t>
  </si>
  <si>
    <t>MBA em Tecnologia e Gestão da Construção de Edifícios</t>
  </si>
  <si>
    <t xml:space="preserve">Engenharias </t>
  </si>
  <si>
    <t>Alberto Casado Lordsleem Jr.</t>
  </si>
  <si>
    <t>acasado@poli.br</t>
  </si>
  <si>
    <t>(81) 9.9234-6146</t>
  </si>
  <si>
    <t>Contribuir para o desenvolvimento das competências profissionais dos graduados em engenharia civil, arquitetura e áreas do conhecimento afins que ocupam e tenham a intenção de ocupar a função de gestor na construção de edifícios; Capacitar profissionais de alto nível, com amplo domínio do conhecimento datecnologia de produção das edificações, aprimorando-os para o atendimento da atual demanda do mercado de construção; Capacitar os profissionais para o desenvolvimento de novas ferramentas de trabalho que promovam o planejamento, a organização, a condução e o controle do sistema de produção das empresas.</t>
  </si>
  <si>
    <t>http://lattes.cnpq.br/1214050781850750</t>
  </si>
  <si>
    <t>Monografia - Artigo Científico - Registro de Processo - Registro de Produto ou Software</t>
  </si>
  <si>
    <t>N°149/2019</t>
  </si>
  <si>
    <t xml:space="preserve">MBA em Ciência de Dados </t>
  </si>
  <si>
    <t>Computação e Administração</t>
  </si>
  <si>
    <t>Fernando Buarque de Lima Neto</t>
  </si>
  <si>
    <t>fbln@ecomp.poli.br</t>
  </si>
  <si>
    <t xml:space="preserve">  (81) 9.8823-1965</t>
  </si>
  <si>
    <t>Este curso tem como objetivo colaborar para a formação de cientistas de dados, com viés gerencial e técnico de alto nível, por meio da oferta de sólidos conceitos em Ciência de Dados, Gestão e Estratégia de Processo de Negócios, Inteligência Artificial, Sistemas de Informação Executiva e Gerencial, e Análise Estatística de dados, com vistas a exploração de conteúdo de grandes volumes de dados, onde as relações e implicações não sejam explícitas. Tudo visando aumentar a eficiência e eficácia empresarial.</t>
  </si>
  <si>
    <t>http://lattes.cnpq.br/5175924818753829</t>
  </si>
  <si>
    <t>Projeto de Aplicação</t>
  </si>
  <si>
    <t>N°148/2019</t>
  </si>
  <si>
    <t>Especialização em Indústria 4.0</t>
  </si>
  <si>
    <t>Ciências exatas e da Terra</t>
  </si>
  <si>
    <t>Djalma Silva Guimarães Junior</t>
  </si>
  <si>
    <t>djalma.guimarães@upe.br</t>
  </si>
  <si>
    <t>(81) 99674-9237</t>
  </si>
  <si>
    <t>Capacitar profissionais para o uso das mais avançadas técnicas da Indústria 4.0 de forma
a contribuir para a modernização da atividade produtiva da região.</t>
  </si>
  <si>
    <t>Projeto de Implantação de Tecnologia Habilitadora da Indústria 4.0 na organização</t>
  </si>
  <si>
    <t>N° 056/2020</t>
  </si>
  <si>
    <t>Especialização em Cloud Computing</t>
  </si>
  <si>
    <t>Paulo Hugo Espírito Santo Lima</t>
  </si>
  <si>
    <t>paulo.hugo@upe.br</t>
  </si>
  <si>
    <t>Capacitar profissionais para o uso e desenvolvimentos de tecnologias relacionadas a cloud computing (computação em nuvem) de forma a contribuir para a estruturação de umecossistema de empresas e mão-de-obra que irão colaborar na formação de um modelo de nuvem nacional.</t>
  </si>
  <si>
    <t>Artigo Cientifico</t>
  </si>
  <si>
    <t>N° 055/2020</t>
  </si>
  <si>
    <t>Especialização em Saneamento 4.0</t>
  </si>
  <si>
    <t>Engenharias - Engenharia Civil</t>
  </si>
  <si>
    <t>Profa. Dra. Simone Rosa da Silva</t>
  </si>
  <si>
    <t>Especialização em Inteligência Artificial Generativa</t>
  </si>
  <si>
    <t>Engenharias - Engenharia da Computação</t>
  </si>
  <si>
    <t>Cleyton Mário de Oliveira Rodrigues</t>
  </si>
  <si>
    <t>Curso de Especialização em Iluminação 4.0</t>
  </si>
  <si>
    <t>Engenharias - Engenharia Elétrica</t>
  </si>
  <si>
    <t>Manoel Henrique da Nóbrega Marinho</t>
  </si>
  <si>
    <t>Parceal</t>
  </si>
  <si>
    <t>SALGUEIRO</t>
  </si>
  <si>
    <t>Residência em Gestão Pública</t>
  </si>
  <si>
    <t>Gestão</t>
  </si>
  <si>
    <t>Prof. Dr. Fagner José Coutinho de Melo</t>
  </si>
  <si>
    <t>Especilização em Gestão Pública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</si>
</sst>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.m"/>
    <numFmt numFmtId="165" formatCode="[$R$ -416]#,##0.00"/>
    <numFmt numFmtId="166" formatCode="d/m/yyyy"/>
  </numFmts>
  <fonts count="91">
    <font>
      <sz val="10.0"/>
      <color rgb="FF000000"/>
      <name val="Arial"/>
      <scheme val="minor"/>
    </font>
    <font>
      <b/>
      <sz val="8.0"/>
      <color rgb="FFFFFFFF"/>
      <name val="Calibri"/>
    </font>
    <font>
      <b/>
      <sz val="8.0"/>
      <color rgb="FF000000"/>
      <name val="Calibri"/>
    </font>
    <font/>
    <font>
      <b/>
      <u/>
      <sz val="8.0"/>
      <color rgb="FF000000"/>
      <name val="Calibri"/>
    </font>
    <font>
      <b/>
      <u/>
      <sz val="8.0"/>
      <color rgb="FF000000"/>
      <name val="Calibri"/>
    </font>
    <font>
      <b/>
      <u/>
      <sz val="8.0"/>
      <color rgb="FF000000"/>
      <name val="Calibri"/>
    </font>
    <font>
      <b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FF"/>
      <name val="Arial"/>
    </font>
    <font>
      <b/>
      <u/>
      <sz val="8.0"/>
      <color rgb="FF0000FF"/>
      <name val="Arial"/>
    </font>
    <font>
      <b/>
      <sz val="8.0"/>
      <color theme="1"/>
      <name val="Arial"/>
    </font>
    <font>
      <sz val="8.0"/>
      <color theme="1"/>
      <name val="Arial"/>
    </font>
    <font>
      <b/>
      <u/>
      <sz val="8.0"/>
      <color rgb="FF000000"/>
      <name val="Arial"/>
    </font>
    <font>
      <u/>
      <sz val="8.0"/>
      <color rgb="FF0000FF"/>
      <name val="Arial"/>
    </font>
    <font>
      <b/>
      <u/>
      <sz val="8.0"/>
      <color rgb="FF0000FF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FF"/>
      <name val="Arial"/>
    </font>
    <font>
      <u/>
      <sz val="8.0"/>
      <color rgb="FF0000FF"/>
      <name val="Arial"/>
    </font>
    <font>
      <u/>
      <sz val="8.0"/>
      <color rgb="FF000000"/>
      <name val="Calibri"/>
    </font>
    <font>
      <sz val="8.0"/>
      <color rgb="FF000000"/>
      <name val="Calibri"/>
    </font>
    <font>
      <b/>
      <u/>
      <sz val="8.0"/>
      <color rgb="FF000000"/>
      <name val="Arial"/>
    </font>
    <font>
      <b/>
      <u/>
      <sz val="8.0"/>
      <color rgb="FF0000FF"/>
      <name val="Arial"/>
    </font>
    <font>
      <u/>
      <sz val="8.0"/>
      <color rgb="FF0000FF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FF"/>
      <name val="Arial"/>
    </font>
    <font>
      <u/>
      <sz val="8.0"/>
      <color rgb="FF000000"/>
      <name val="Calibri"/>
    </font>
    <font>
      <u/>
      <sz val="8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Calibri"/>
    </font>
    <font>
      <b/>
      <u/>
      <sz val="8.0"/>
      <color rgb="FF0000FF"/>
      <name val="Arial"/>
    </font>
    <font>
      <u/>
      <sz val="8.0"/>
      <color rgb="FF0000FF"/>
      <name val="Calibri"/>
    </font>
    <font>
      <u/>
      <sz val="8.0"/>
      <color rgb="FF0000FF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b/>
      <sz val="8.0"/>
      <color theme="0"/>
      <name val="Arial"/>
    </font>
    <font>
      <b/>
      <u/>
      <sz val="8.0"/>
      <color theme="0"/>
      <name val="Arial"/>
    </font>
    <font>
      <sz val="8.0"/>
      <color theme="0"/>
      <name val="Arial"/>
    </font>
    <font>
      <sz val="8.0"/>
      <color theme="0"/>
      <name val="Calibri"/>
    </font>
    <font>
      <b/>
      <u/>
      <sz val="8.0"/>
      <color rgb="FF0000FF"/>
      <name val="Arial"/>
    </font>
    <font>
      <u/>
      <sz val="8.0"/>
      <color rgb="FF000000"/>
      <name val="Arial"/>
    </font>
    <font>
      <b/>
      <u/>
      <sz val="8.0"/>
      <color rgb="FF000000"/>
      <name val="Arial"/>
    </font>
    <font>
      <u/>
      <sz val="8.0"/>
      <color rgb="FF000000"/>
      <name val="Arial"/>
    </font>
    <font>
      <u/>
      <sz val="8.0"/>
      <color rgb="FF0000FF"/>
      <name val="Arial"/>
    </font>
    <font>
      <b/>
      <u/>
      <sz val="8.0"/>
      <color rgb="FFFFFFFF"/>
      <name val="Arial"/>
    </font>
    <font>
      <b/>
      <u/>
      <sz val="8.0"/>
      <color theme="0"/>
      <name val="Arial"/>
    </font>
    <font>
      <u/>
      <sz val="8.0"/>
      <color theme="0"/>
      <name val="Arial"/>
    </font>
    <font>
      <u/>
      <sz val="8.0"/>
      <color theme="0"/>
      <name val="Arial"/>
    </font>
    <font>
      <u/>
      <color rgb="FFFFFFFF"/>
      <name val="Arial"/>
    </font>
    <font>
      <b/>
      <u/>
      <sz val="8.0"/>
      <color rgb="FFFFFFFF"/>
      <name val="Arial"/>
    </font>
    <font>
      <b/>
      <u/>
      <sz val="8.0"/>
      <color theme="0"/>
      <name val="Arial"/>
    </font>
    <font>
      <u/>
      <sz val="8.0"/>
      <color theme="0"/>
      <name val="Arial"/>
    </font>
    <font>
      <u/>
      <sz val="8.0"/>
      <color rgb="FF000000"/>
      <name val="Arial"/>
    </font>
    <font>
      <u/>
      <sz val="8.0"/>
      <color theme="0"/>
      <name val="Arial"/>
    </font>
    <font>
      <b/>
      <u/>
      <sz val="8.0"/>
      <color rgb="FFFFFFFF"/>
      <name val="Arial"/>
    </font>
    <font>
      <sz val="8.0"/>
      <color rgb="FFFFFFFF"/>
      <name val="Arial"/>
    </font>
    <font>
      <b/>
      <u/>
      <sz val="8.0"/>
      <color rgb="FF000000"/>
      <name val="Arial"/>
    </font>
  </fonts>
  <fills count="3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B4A7D6"/>
        <bgColor rgb="FFB4A7D6"/>
      </patternFill>
    </fill>
    <fill>
      <patternFill patternType="solid">
        <fgColor rgb="FFCCC0DA"/>
        <bgColor rgb="FFCCC0DA"/>
      </patternFill>
    </fill>
    <fill>
      <patternFill patternType="solid">
        <fgColor rgb="FFFABF8F"/>
        <bgColor rgb="FFFABF8F"/>
      </patternFill>
    </fill>
    <fill>
      <patternFill patternType="solid">
        <fgColor theme="7"/>
        <bgColor theme="7"/>
      </patternFill>
    </fill>
    <fill>
      <patternFill patternType="solid">
        <fgColor rgb="FFB7DEE8"/>
        <bgColor rgb="FFB7DEE8"/>
      </patternFill>
    </fill>
    <fill>
      <patternFill patternType="solid">
        <fgColor rgb="FF9BBB59"/>
        <bgColor rgb="FF9BBB59"/>
      </patternFill>
    </fill>
    <fill>
      <patternFill patternType="solid">
        <fgColor rgb="FFC6EFCE"/>
        <bgColor rgb="FFC6EFCE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A64D79"/>
        <bgColor rgb="FFA64D79"/>
      </patternFill>
    </fill>
    <fill>
      <patternFill patternType="solid">
        <fgColor rgb="FFFFE599"/>
        <bgColor rgb="FFFFE599"/>
      </patternFill>
    </fill>
    <fill>
      <patternFill patternType="solid">
        <fgColor rgb="FFFFC7CE"/>
        <bgColor rgb="FFFFC7CE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B7E1CD"/>
        <bgColor rgb="FFB7E1CD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3D85C6"/>
        <bgColor rgb="FF3D85C6"/>
      </patternFill>
    </fill>
    <fill>
      <patternFill patternType="solid">
        <fgColor rgb="FFFF00FF"/>
        <bgColor rgb="FFFF00FF"/>
      </patternFill>
    </fill>
    <fill>
      <patternFill patternType="solid">
        <fgColor rgb="FFE69138"/>
        <bgColor rgb="FFE69138"/>
      </patternFill>
    </fill>
    <fill>
      <patternFill patternType="solid">
        <fgColor rgb="FFC27BA0"/>
        <bgColor rgb="FFC27BA0"/>
      </patternFill>
    </fill>
    <fill>
      <patternFill patternType="solid">
        <fgColor rgb="FF38761D"/>
        <bgColor rgb="FF38761D"/>
      </patternFill>
    </fill>
    <fill>
      <patternFill patternType="solid">
        <fgColor rgb="FF134F5C"/>
        <bgColor rgb="FF134F5C"/>
      </patternFill>
    </fill>
    <fill>
      <patternFill patternType="solid">
        <fgColor rgb="FFBF9000"/>
        <bgColor rgb="FFBF9000"/>
      </patternFill>
    </fill>
    <fill>
      <patternFill patternType="solid">
        <fgColor rgb="FF660000"/>
        <bgColor rgb="FF66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left" shrinkToFit="0" vertical="center" wrapText="1"/>
    </xf>
    <xf borderId="4" fillId="2" fontId="1" numFmtId="0" xfId="0" applyAlignment="1" applyBorder="1" applyFont="1">
      <alignment horizontal="center" shrinkToFit="0" vertical="center" wrapText="0"/>
    </xf>
    <xf borderId="4" fillId="2" fontId="1" numFmtId="0" xfId="0" applyAlignment="1" applyBorder="1" applyFont="1">
      <alignment horizontal="center" shrinkToFit="0" vertical="center" wrapText="1"/>
    </xf>
    <xf borderId="4" fillId="2" fontId="1" numFmtId="10" xfId="0" applyAlignment="1" applyBorder="1" applyFont="1" applyNumberFormat="1">
      <alignment horizontal="center" shrinkToFit="0" vertical="center" wrapText="0"/>
    </xf>
    <xf borderId="4" fillId="2" fontId="1" numFmtId="49" xfId="0" applyAlignment="1" applyBorder="1" applyFont="1" applyNumberFormat="1">
      <alignment horizontal="center" shrinkToFit="0" vertical="center" wrapText="0"/>
    </xf>
    <xf borderId="5" fillId="2" fontId="1" numFmtId="0" xfId="0" applyAlignment="1" applyBorder="1" applyFont="1">
      <alignment horizontal="center" shrinkToFit="0" vertical="center" wrapText="0"/>
    </xf>
    <xf borderId="6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0"/>
    </xf>
    <xf borderId="7" fillId="3" fontId="2" numFmtId="0" xfId="0" applyAlignment="1" applyBorder="1" applyFill="1" applyFont="1">
      <alignment horizontal="center" shrinkToFit="0" vertical="center" wrapText="0"/>
    </xf>
    <xf borderId="8" fillId="3" fontId="2" numFmtId="0" xfId="0" applyAlignment="1" applyBorder="1" applyFont="1">
      <alignment horizontal="center" shrinkToFit="0" vertical="center" wrapText="1"/>
    </xf>
    <xf borderId="9" fillId="3" fontId="2" numFmtId="0" xfId="0" applyAlignment="1" applyBorder="1" applyFont="1">
      <alignment horizontal="left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10" fillId="4" fontId="2" numFmtId="0" xfId="0" applyAlignment="1" applyBorder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shrinkToFit="0" vertical="center" wrapText="0"/>
    </xf>
    <xf borderId="10" fillId="5" fontId="2" numFmtId="0" xfId="0" applyAlignment="1" applyBorder="1" applyFont="1">
      <alignment horizontal="center" shrinkToFit="0" vertical="center" wrapText="0"/>
    </xf>
    <xf borderId="2" fillId="4" fontId="2" numFmtId="0" xfId="0" applyAlignment="1" applyBorder="1" applyFont="1">
      <alignment horizontal="center" shrinkToFit="0" vertical="center" wrapText="0"/>
    </xf>
    <xf borderId="3" fillId="4" fontId="2" numFmtId="0" xfId="0" applyAlignment="1" applyBorder="1" applyFont="1">
      <alignment horizontal="center" shrinkToFit="0" vertical="center" wrapText="0"/>
    </xf>
    <xf borderId="3" fillId="5" fontId="2" numFmtId="0" xfId="0" applyAlignment="1" applyBorder="1" applyFont="1">
      <alignment horizontal="center" shrinkToFit="0" vertical="center" wrapText="0"/>
    </xf>
    <xf borderId="2" fillId="6" fontId="2" numFmtId="0" xfId="0" applyAlignment="1" applyBorder="1" applyFill="1" applyFont="1">
      <alignment horizontal="center" shrinkToFit="0" vertical="center" wrapText="0"/>
    </xf>
    <xf borderId="10" fillId="6" fontId="2" numFmtId="0" xfId="0" applyAlignment="1" applyBorder="1" applyFont="1">
      <alignment horizontal="center" shrinkToFit="0" vertical="center" wrapText="0"/>
    </xf>
    <xf borderId="3" fillId="6" fontId="2" numFmtId="0" xfId="0" applyAlignment="1" applyBorder="1" applyFont="1">
      <alignment horizontal="center" shrinkToFit="0" vertical="center" wrapText="0"/>
    </xf>
    <xf borderId="2" fillId="7" fontId="2" numFmtId="0" xfId="0" applyAlignment="1" applyBorder="1" applyFill="1" applyFont="1">
      <alignment horizontal="center" shrinkToFit="0" vertical="center" wrapText="0"/>
    </xf>
    <xf borderId="10" fillId="0" fontId="3" numFmtId="0" xfId="0" applyBorder="1" applyFont="1"/>
    <xf borderId="3" fillId="0" fontId="3" numFmtId="0" xfId="0" applyBorder="1" applyFont="1"/>
    <xf borderId="2" fillId="8" fontId="2" numFmtId="0" xfId="0" applyAlignment="1" applyBorder="1" applyFill="1" applyFont="1">
      <alignment horizontal="center" shrinkToFit="0" vertical="center" wrapText="0"/>
    </xf>
    <xf borderId="10" fillId="8" fontId="2" numFmtId="0" xfId="0" applyAlignment="1" applyBorder="1" applyFont="1">
      <alignment horizontal="center" shrinkToFit="0" vertical="center" wrapText="0"/>
    </xf>
    <xf borderId="3" fillId="8" fontId="2" numFmtId="0" xfId="0" applyAlignment="1" applyBorder="1" applyFont="1">
      <alignment horizontal="center" shrinkToFit="0" vertical="center" wrapText="0"/>
    </xf>
    <xf borderId="11" fillId="9" fontId="2" numFmtId="0" xfId="0" applyAlignment="1" applyBorder="1" applyFill="1" applyFont="1">
      <alignment horizontal="center" shrinkToFit="0" vertical="center" wrapText="0"/>
    </xf>
    <xf borderId="6" fillId="9" fontId="2" numFmtId="0" xfId="0" applyAlignment="1" applyBorder="1" applyFont="1">
      <alignment horizontal="center" shrinkToFit="0" vertical="center" wrapText="0"/>
    </xf>
    <xf borderId="5" fillId="4" fontId="4" numFmtId="0" xfId="0" applyAlignment="1" applyBorder="1" applyFont="1">
      <alignment horizontal="center" shrinkToFit="0" vertical="center" wrapText="1"/>
    </xf>
    <xf borderId="11" fillId="4" fontId="5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2" fillId="10" fontId="2" numFmtId="0" xfId="0" applyAlignment="1" applyBorder="1" applyFill="1" applyFont="1">
      <alignment horizontal="center" shrinkToFit="0" vertical="center" wrapText="1"/>
    </xf>
    <xf borderId="3" fillId="10" fontId="2" numFmtId="0" xfId="0" applyAlignment="1" applyBorder="1" applyFon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4" fillId="12" fontId="7" numFmtId="0" xfId="0" applyAlignment="1" applyBorder="1" applyFill="1" applyFont="1">
      <alignment horizontal="center" shrinkToFit="0" vertical="center" wrapText="0"/>
    </xf>
    <xf borderId="4" fillId="3" fontId="7" numFmtId="0" xfId="0" applyAlignment="1" applyBorder="1" applyFont="1">
      <alignment horizontal="center" shrinkToFit="0" vertical="center" wrapText="1"/>
    </xf>
    <xf borderId="4" fillId="12" fontId="7" numFmtId="0" xfId="0" applyAlignment="1" applyBorder="1" applyFont="1">
      <alignment horizontal="left" readingOrder="0" shrinkToFit="0" vertical="center" wrapText="1"/>
    </xf>
    <xf borderId="4" fillId="4" fontId="7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0"/>
    </xf>
    <xf borderId="4" fillId="5" fontId="7" numFmtId="10" xfId="0" applyAlignment="1" applyBorder="1" applyFont="1" applyNumberFormat="1">
      <alignment horizontal="center" shrinkToFit="0" vertical="center" wrapText="0"/>
    </xf>
    <xf borderId="0" fillId="6" fontId="7" numFmtId="0" xfId="0" applyAlignment="1" applyFont="1">
      <alignment horizontal="center" shrinkToFit="0" vertical="center" wrapText="0"/>
    </xf>
    <xf borderId="4" fillId="6" fontId="7" numFmtId="0" xfId="0" applyAlignment="1" applyBorder="1" applyFont="1">
      <alignment horizontal="center" shrinkToFit="0" vertical="center" wrapText="0"/>
    </xf>
    <xf borderId="4" fillId="6" fontId="7" numFmtId="49" xfId="0" applyAlignment="1" applyBorder="1" applyFont="1" applyNumberFormat="1">
      <alignment horizontal="center" shrinkToFit="0" vertical="center" wrapText="0"/>
    </xf>
    <xf borderId="4" fillId="7" fontId="2" numFmtId="0" xfId="0" applyAlignment="1" applyBorder="1" applyFont="1">
      <alignment horizontal="center" shrinkToFit="0" vertical="center" wrapText="0"/>
    </xf>
    <xf borderId="4" fillId="7" fontId="2" numFmtId="0" xfId="0" applyAlignment="1" applyBorder="1" applyFont="1">
      <alignment horizontal="center" shrinkToFit="0" vertical="center" wrapText="1"/>
    </xf>
    <xf borderId="4" fillId="8" fontId="7" numFmtId="0" xfId="0" applyAlignment="1" applyBorder="1" applyFont="1">
      <alignment horizontal="center" shrinkToFit="0" vertical="center" wrapText="0"/>
    </xf>
    <xf borderId="4" fillId="8" fontId="8" numFmtId="0" xfId="0" applyAlignment="1" applyBorder="1" applyFont="1">
      <alignment horizontal="center" shrinkToFit="0" vertical="center" wrapText="0"/>
    </xf>
    <xf borderId="4" fillId="9" fontId="7" numFmtId="0" xfId="0" applyAlignment="1" applyBorder="1" applyFont="1">
      <alignment horizontal="center" shrinkToFit="0" vertical="center" wrapText="0"/>
    </xf>
    <xf borderId="4" fillId="9" fontId="7" numFmtId="164" xfId="0" applyAlignment="1" applyBorder="1" applyFont="1" applyNumberFormat="1">
      <alignment horizontal="center" shrinkToFit="0" vertical="center" wrapText="0"/>
    </xf>
    <xf borderId="4" fillId="13" fontId="7" numFmtId="0" xfId="0" applyAlignment="1" applyBorder="1" applyFill="1" applyFont="1">
      <alignment horizontal="center" shrinkToFit="0" vertical="center" wrapText="0"/>
    </xf>
    <xf borderId="12" fillId="14" fontId="7" numFmtId="0" xfId="0" applyAlignment="1" applyBorder="1" applyFill="1" applyFont="1">
      <alignment horizontal="center" shrinkToFit="0" vertical="center" wrapText="0"/>
    </xf>
    <xf borderId="13" fillId="14" fontId="9" numFmtId="0" xfId="0" applyAlignment="1" applyBorder="1" applyFont="1">
      <alignment horizontal="center" shrinkToFit="0" vertical="center" wrapText="1"/>
    </xf>
    <xf borderId="4" fillId="14" fontId="10" numFmtId="0" xfId="0" applyAlignment="1" applyBorder="1" applyFont="1">
      <alignment horizontal="left" shrinkToFit="0" vertical="center" wrapText="1"/>
    </xf>
    <xf borderId="13" fillId="14" fontId="10" numFmtId="0" xfId="0" applyAlignment="1" applyBorder="1" applyFont="1">
      <alignment horizontal="center" shrinkToFit="0" vertical="center" wrapText="0"/>
    </xf>
    <xf borderId="13" fillId="14" fontId="10" numFmtId="0" xfId="0" applyAlignment="1" applyBorder="1" applyFont="1">
      <alignment horizontal="center" shrinkToFit="0" vertical="center" wrapText="1"/>
    </xf>
    <xf borderId="12" fillId="14" fontId="10" numFmtId="0" xfId="0" applyAlignment="1" applyBorder="1" applyFont="1">
      <alignment horizontal="center" vertical="center"/>
    </xf>
    <xf borderId="13" fillId="14" fontId="10" numFmtId="0" xfId="0" applyAlignment="1" applyBorder="1" applyFont="1">
      <alignment horizontal="center" vertical="center"/>
    </xf>
    <xf borderId="13" fillId="14" fontId="7" numFmtId="0" xfId="0" applyAlignment="1" applyBorder="1" applyFont="1">
      <alignment horizontal="center" shrinkToFit="0" vertical="center" wrapText="0"/>
    </xf>
    <xf borderId="13" fillId="14" fontId="11" numFmtId="0" xfId="0" applyAlignment="1" applyBorder="1" applyFont="1">
      <alignment horizontal="center" shrinkToFit="0" vertical="center" wrapText="0"/>
    </xf>
    <xf borderId="13" fillId="14" fontId="7" numFmtId="10" xfId="0" applyAlignment="1" applyBorder="1" applyFont="1" applyNumberFormat="1">
      <alignment horizontal="center" shrinkToFit="0" vertical="center" wrapText="0"/>
    </xf>
    <xf borderId="4" fillId="14" fontId="10" numFmtId="165" xfId="0" applyAlignment="1" applyBorder="1" applyFont="1" applyNumberFormat="1">
      <alignment horizontal="center" shrinkToFit="0" vertical="center" wrapText="0"/>
    </xf>
    <xf borderId="4" fillId="14" fontId="10" numFmtId="0" xfId="0" applyAlignment="1" applyBorder="1" applyFont="1">
      <alignment horizontal="center" shrinkToFit="0" vertical="center" wrapText="0"/>
    </xf>
    <xf borderId="12" fillId="14" fontId="10" numFmtId="0" xfId="0" applyAlignment="1" applyBorder="1" applyFont="1">
      <alignment horizontal="center" shrinkToFit="0" vertical="center" wrapText="0"/>
    </xf>
    <xf borderId="13" fillId="14" fontId="10" numFmtId="165" xfId="0" applyAlignment="1" applyBorder="1" applyFont="1" applyNumberFormat="1">
      <alignment horizontal="center" shrinkToFit="0" vertical="center" wrapText="0"/>
    </xf>
    <xf borderId="13" fillId="14" fontId="12" numFmtId="0" xfId="0" applyAlignment="1" applyBorder="1" applyFont="1">
      <alignment horizontal="center" shrinkToFit="0" vertical="center" wrapText="0"/>
    </xf>
    <xf borderId="4" fillId="15" fontId="10" numFmtId="0" xfId="0" applyAlignment="1" applyBorder="1" applyFill="1" applyFont="1">
      <alignment horizontal="center" shrinkToFit="0" vertical="center" wrapText="0"/>
    </xf>
    <xf borderId="13" fillId="14" fontId="10" numFmtId="166" xfId="0" applyAlignment="1" applyBorder="1" applyFont="1" applyNumberFormat="1">
      <alignment horizontal="center" shrinkToFit="0" vertical="center" wrapText="0"/>
    </xf>
    <xf borderId="13" fillId="14" fontId="10" numFmtId="0" xfId="0" applyAlignment="1" applyBorder="1" applyFont="1">
      <alignment horizontal="left" shrinkToFit="0" vertical="center" wrapText="1"/>
    </xf>
    <xf borderId="13" fillId="14" fontId="7" numFmtId="165" xfId="0" applyAlignment="1" applyBorder="1" applyFont="1" applyNumberFormat="1">
      <alignment horizontal="center" shrinkToFit="0" vertical="center" wrapText="0"/>
    </xf>
    <xf borderId="12" fillId="14" fontId="10" numFmtId="49" xfId="0" applyAlignment="1" applyBorder="1" applyFont="1" applyNumberFormat="1">
      <alignment horizontal="center" shrinkToFit="0" vertical="center" wrapText="0"/>
    </xf>
    <xf borderId="13" fillId="15" fontId="10" numFmtId="0" xfId="0" applyAlignment="1" applyBorder="1" applyFont="1">
      <alignment horizontal="center" shrinkToFit="0" vertical="center" wrapText="0"/>
    </xf>
    <xf borderId="12" fillId="16" fontId="7" numFmtId="0" xfId="0" applyAlignment="1" applyBorder="1" applyFill="1" applyFont="1">
      <alignment horizontal="center" shrinkToFit="0" vertical="center" wrapText="0"/>
    </xf>
    <xf borderId="13" fillId="16" fontId="13" numFmtId="0" xfId="0" applyAlignment="1" applyBorder="1" applyFont="1">
      <alignment horizontal="center" shrinkToFit="0" vertical="center" wrapText="1"/>
    </xf>
    <xf borderId="13" fillId="16" fontId="10" numFmtId="0" xfId="0" applyAlignment="1" applyBorder="1" applyFont="1">
      <alignment horizontal="left" shrinkToFit="0" vertical="center" wrapText="1"/>
    </xf>
    <xf borderId="13" fillId="16" fontId="10" numFmtId="0" xfId="0" applyAlignment="1" applyBorder="1" applyFont="1">
      <alignment horizontal="center" shrinkToFit="0" vertical="center" wrapText="0"/>
    </xf>
    <xf borderId="13" fillId="16" fontId="10" numFmtId="0" xfId="0" applyAlignment="1" applyBorder="1" applyFont="1">
      <alignment horizontal="center" shrinkToFit="0" vertical="center" wrapText="1"/>
    </xf>
    <xf borderId="13" fillId="16" fontId="7" numFmtId="0" xfId="0" applyAlignment="1" applyBorder="1" applyFont="1">
      <alignment horizontal="center" shrinkToFit="0" vertical="center" wrapText="0"/>
    </xf>
    <xf borderId="13" fillId="16" fontId="14" numFmtId="0" xfId="0" applyAlignment="1" applyBorder="1" applyFont="1">
      <alignment horizontal="center" shrinkToFit="0" vertical="center" wrapText="0"/>
    </xf>
    <xf borderId="13" fillId="16" fontId="7" numFmtId="10" xfId="0" applyAlignment="1" applyBorder="1" applyFont="1" applyNumberFormat="1">
      <alignment horizontal="center" shrinkToFit="0" vertical="center" wrapText="0"/>
    </xf>
    <xf borderId="4" fillId="16" fontId="7" numFmtId="165" xfId="0" applyAlignment="1" applyBorder="1" applyFont="1" applyNumberFormat="1">
      <alignment horizontal="center" shrinkToFit="0" vertical="center" wrapText="0"/>
    </xf>
    <xf borderId="4" fillId="16" fontId="7" numFmtId="0" xfId="0" applyAlignment="1" applyBorder="1" applyFont="1">
      <alignment horizontal="center" shrinkToFit="0" vertical="center" wrapText="0"/>
    </xf>
    <xf borderId="13" fillId="16" fontId="7" numFmtId="49" xfId="0" applyAlignment="1" applyBorder="1" applyFont="1" applyNumberFormat="1">
      <alignment horizontal="center" shrinkToFit="0" vertical="center" wrapText="0"/>
    </xf>
    <xf borderId="13" fillId="16" fontId="7" numFmtId="165" xfId="0" applyAlignment="1" applyBorder="1" applyFont="1" applyNumberFormat="1">
      <alignment horizontal="center" shrinkToFit="0" vertical="center" wrapText="0"/>
    </xf>
    <xf borderId="13" fillId="16" fontId="15" numFmtId="0" xfId="0" applyAlignment="1" applyBorder="1" applyFont="1">
      <alignment horizontal="center" shrinkToFit="0" vertical="center" wrapText="0"/>
    </xf>
    <xf borderId="4" fillId="9" fontId="10" numFmtId="0" xfId="0" applyAlignment="1" applyBorder="1" applyFont="1">
      <alignment horizontal="center" shrinkToFit="0" vertical="center" wrapText="0"/>
    </xf>
    <xf borderId="13" fillId="16" fontId="10" numFmtId="166" xfId="0" applyAlignment="1" applyBorder="1" applyFont="1" applyNumberFormat="1">
      <alignment horizontal="center" shrinkToFit="0" vertical="center" wrapText="0"/>
    </xf>
    <xf borderId="12" fillId="17" fontId="7" numFmtId="0" xfId="0" applyAlignment="1" applyBorder="1" applyFill="1" applyFont="1">
      <alignment horizontal="center" shrinkToFit="0" vertical="center" wrapText="0"/>
    </xf>
    <xf borderId="12" fillId="17" fontId="16" numFmtId="0" xfId="0" applyAlignment="1" applyBorder="1" applyFont="1">
      <alignment horizontal="center" shrinkToFit="0" vertical="center" wrapText="0"/>
    </xf>
    <xf borderId="13" fillId="17" fontId="10" numFmtId="0" xfId="0" applyAlignment="1" applyBorder="1" applyFont="1">
      <alignment horizontal="left" shrinkToFit="0" vertical="center" wrapText="1"/>
    </xf>
    <xf borderId="13" fillId="17" fontId="10" numFmtId="0" xfId="0" applyAlignment="1" applyBorder="1" applyFont="1">
      <alignment horizontal="center" shrinkToFit="0" vertical="center" wrapText="0"/>
    </xf>
    <xf borderId="12" fillId="17" fontId="10" numFmtId="0" xfId="0" applyAlignment="1" applyBorder="1" applyFont="1">
      <alignment horizontal="center" vertical="center"/>
    </xf>
    <xf borderId="13" fillId="17" fontId="10" numFmtId="0" xfId="0" applyAlignment="1" applyBorder="1" applyFont="1">
      <alignment horizontal="center" vertical="center"/>
    </xf>
    <xf borderId="13" fillId="17" fontId="7" numFmtId="0" xfId="0" applyAlignment="1" applyBorder="1" applyFont="1">
      <alignment horizontal="center" shrinkToFit="0" vertical="center" wrapText="0"/>
    </xf>
    <xf borderId="13" fillId="17" fontId="10" numFmtId="0" xfId="0" applyAlignment="1" applyBorder="1" applyFont="1">
      <alignment horizontal="center" shrinkToFit="0" vertical="center" wrapText="1"/>
    </xf>
    <xf borderId="13" fillId="17" fontId="17" numFmtId="0" xfId="0" applyAlignment="1" applyBorder="1" applyFont="1">
      <alignment horizontal="center" shrinkToFit="0" vertical="center" wrapText="0"/>
    </xf>
    <xf borderId="13" fillId="17" fontId="7" numFmtId="165" xfId="0" applyAlignment="1" applyBorder="1" applyFont="1" applyNumberFormat="1">
      <alignment horizontal="center" shrinkToFit="0" vertical="center" wrapText="0"/>
    </xf>
    <xf borderId="13" fillId="17" fontId="18" numFmtId="0" xfId="0" applyAlignment="1" applyBorder="1" applyFont="1">
      <alignment horizontal="center" shrinkToFit="0" vertical="center" wrapText="0"/>
    </xf>
    <xf borderId="4" fillId="18" fontId="10" numFmtId="0" xfId="0" applyAlignment="1" applyBorder="1" applyFill="1" applyFont="1">
      <alignment horizontal="center" shrinkToFit="0" vertical="center" wrapText="0"/>
    </xf>
    <xf borderId="13" fillId="17" fontId="10" numFmtId="166" xfId="0" applyAlignment="1" applyBorder="1" applyFont="1" applyNumberFormat="1">
      <alignment horizontal="center" shrinkToFit="0" vertical="center" wrapText="0"/>
    </xf>
    <xf borderId="4" fillId="17" fontId="10" numFmtId="0" xfId="0" applyAlignment="1" applyBorder="1" applyFont="1">
      <alignment horizontal="center" shrinkToFit="0" vertical="center" wrapText="0"/>
    </xf>
    <xf borderId="12" fillId="19" fontId="7" numFmtId="0" xfId="0" applyAlignment="1" applyBorder="1" applyFill="1" applyFont="1">
      <alignment horizontal="center" shrinkToFit="0" vertical="center" wrapText="0"/>
    </xf>
    <xf borderId="12" fillId="19" fontId="19" numFmtId="0" xfId="0" applyAlignment="1" applyBorder="1" applyFont="1">
      <alignment horizontal="center" shrinkToFit="0" vertical="center" wrapText="0"/>
    </xf>
    <xf borderId="13" fillId="19" fontId="10" numFmtId="0" xfId="0" applyAlignment="1" applyBorder="1" applyFont="1">
      <alignment horizontal="left" shrinkToFit="0" vertical="center" wrapText="1"/>
    </xf>
    <xf borderId="13" fillId="19" fontId="10" numFmtId="0" xfId="0" applyAlignment="1" applyBorder="1" applyFont="1">
      <alignment horizontal="center" shrinkToFit="0" vertical="center" wrapText="0"/>
    </xf>
    <xf borderId="4" fillId="19" fontId="10" numFmtId="0" xfId="0" applyAlignment="1" applyBorder="1" applyFont="1">
      <alignment horizontal="center" shrinkToFit="0" vertical="center" wrapText="0"/>
    </xf>
    <xf borderId="13" fillId="19" fontId="10" numFmtId="0" xfId="0" applyAlignment="1" applyBorder="1" applyFont="1">
      <alignment horizontal="center" vertical="center"/>
    </xf>
    <xf borderId="13" fillId="19" fontId="7" numFmtId="0" xfId="0" applyAlignment="1" applyBorder="1" applyFont="1">
      <alignment horizontal="center" shrinkToFit="0" vertical="center" wrapText="0"/>
    </xf>
    <xf borderId="13" fillId="19" fontId="10" numFmtId="0" xfId="0" applyAlignment="1" applyBorder="1" applyFont="1">
      <alignment horizontal="center" shrinkToFit="0" vertical="center" wrapText="1"/>
    </xf>
    <xf borderId="13" fillId="19" fontId="20" numFmtId="0" xfId="0" applyAlignment="1" applyBorder="1" applyFont="1">
      <alignment horizontal="center" shrinkToFit="0" vertical="center" wrapText="0"/>
    </xf>
    <xf borderId="13" fillId="19" fontId="7" numFmtId="165" xfId="0" applyAlignment="1" applyBorder="1" applyFont="1" applyNumberFormat="1">
      <alignment horizontal="center" shrinkToFit="0" vertical="center" wrapText="0"/>
    </xf>
    <xf borderId="13" fillId="19" fontId="21" numFmtId="0" xfId="0" applyAlignment="1" applyBorder="1" applyFont="1">
      <alignment horizontal="center" shrinkToFit="0" vertical="center" wrapText="0"/>
    </xf>
    <xf borderId="13" fillId="19" fontId="10" numFmtId="166" xfId="0" applyAlignment="1" applyBorder="1" applyFont="1" applyNumberFormat="1">
      <alignment horizontal="center" shrinkToFit="0" vertical="center" wrapText="0"/>
    </xf>
    <xf borderId="4" fillId="19" fontId="22" numFmtId="0" xfId="0" applyAlignment="1" applyBorder="1" applyFont="1">
      <alignment horizontal="center" shrinkToFit="0" vertical="center" wrapText="0"/>
    </xf>
    <xf borderId="13" fillId="19" fontId="7" numFmtId="0" xfId="0" applyAlignment="1" applyBorder="1" applyFont="1">
      <alignment horizontal="center" shrinkToFit="0" vertical="center" wrapText="1"/>
    </xf>
    <xf borderId="13" fillId="20" fontId="10" numFmtId="0" xfId="0" applyAlignment="1" applyBorder="1" applyFill="1" applyFont="1">
      <alignment horizontal="left" shrinkToFit="0" vertical="center" wrapText="1"/>
    </xf>
    <xf borderId="13" fillId="21" fontId="10" numFmtId="0" xfId="0" applyAlignment="1" applyBorder="1" applyFill="1" applyFont="1">
      <alignment horizontal="center" shrinkToFit="0" vertical="center" wrapText="0"/>
    </xf>
    <xf borderId="13" fillId="16" fontId="10" numFmtId="49" xfId="0" applyAlignment="1" applyBorder="1" applyFont="1" applyNumberFormat="1">
      <alignment horizontal="center" shrinkToFit="0" vertical="center" wrapText="0"/>
    </xf>
    <xf borderId="13" fillId="22" fontId="10" numFmtId="0" xfId="0" applyAlignment="1" applyBorder="1" applyFill="1" applyFont="1">
      <alignment horizontal="center" shrinkToFit="0" vertical="center" wrapText="0"/>
    </xf>
    <xf borderId="13" fillId="23" fontId="10" numFmtId="0" xfId="0" applyAlignment="1" applyBorder="1" applyFill="1" applyFont="1">
      <alignment horizontal="left" shrinkToFit="0" vertical="center" wrapText="1"/>
    </xf>
    <xf borderId="12" fillId="19" fontId="10" numFmtId="0" xfId="0" applyAlignment="1" applyBorder="1" applyFont="1">
      <alignment horizontal="center" vertical="center"/>
    </xf>
    <xf borderId="4" fillId="19" fontId="7" numFmtId="0" xfId="0" applyAlignment="1" applyBorder="1" applyFont="1">
      <alignment horizontal="center" vertical="center"/>
    </xf>
    <xf borderId="6" fillId="19" fontId="23" numFmtId="0" xfId="0" applyAlignment="1" applyBorder="1" applyFont="1">
      <alignment horizontal="center" vertical="center"/>
    </xf>
    <xf borderId="6" fillId="19" fontId="10" numFmtId="0" xfId="0" applyAlignment="1" applyBorder="1" applyFont="1">
      <alignment horizontal="left" shrinkToFit="0" vertical="center" wrapText="1"/>
    </xf>
    <xf borderId="6" fillId="17" fontId="10" numFmtId="0" xfId="0" applyAlignment="1" applyBorder="1" applyFont="1">
      <alignment horizontal="center" vertical="center"/>
    </xf>
    <xf borderId="6" fillId="19" fontId="10" numFmtId="0" xfId="0" applyAlignment="1" applyBorder="1" applyFont="1">
      <alignment horizontal="center" vertical="center"/>
    </xf>
    <xf borderId="6" fillId="19" fontId="7" numFmtId="0" xfId="0" applyAlignment="1" applyBorder="1" applyFont="1">
      <alignment horizontal="center" vertical="center"/>
    </xf>
    <xf borderId="6" fillId="14" fontId="7" numFmtId="10" xfId="0" applyAlignment="1" applyBorder="1" applyFont="1" applyNumberFormat="1">
      <alignment horizontal="center" vertical="center"/>
    </xf>
    <xf borderId="6" fillId="16" fontId="7" numFmtId="49" xfId="0" applyAlignment="1" applyBorder="1" applyFont="1" applyNumberFormat="1">
      <alignment horizontal="center" vertical="center"/>
    </xf>
    <xf borderId="6" fillId="14" fontId="10" numFmtId="165" xfId="0" applyAlignment="1" applyBorder="1" applyFont="1" applyNumberFormat="1">
      <alignment horizontal="center" vertical="center"/>
    </xf>
    <xf borderId="6" fillId="19" fontId="24" numFmtId="0" xfId="0" applyAlignment="1" applyBorder="1" applyFont="1">
      <alignment horizontal="center" vertical="center"/>
    </xf>
    <xf borderId="6" fillId="19" fontId="10" numFmtId="0" xfId="0" applyAlignment="1" applyBorder="1" applyFont="1">
      <alignment horizontal="center" shrinkToFit="0" vertical="center" wrapText="1"/>
    </xf>
    <xf borderId="6" fillId="14" fontId="10" numFmtId="0" xfId="0" applyAlignment="1" applyBorder="1" applyFont="1">
      <alignment horizontal="center" shrinkToFit="0" vertical="center" wrapText="1"/>
    </xf>
    <xf borderId="6" fillId="14" fontId="10" numFmtId="0" xfId="0" applyAlignment="1" applyBorder="1" applyFont="1">
      <alignment horizontal="center" vertical="center"/>
    </xf>
    <xf borderId="6" fillId="24" fontId="10" numFmtId="0" xfId="0" applyAlignment="1" applyBorder="1" applyFill="1" applyFont="1">
      <alignment horizontal="center" vertical="center"/>
    </xf>
    <xf borderId="6" fillId="21" fontId="10" numFmtId="0" xfId="0" applyAlignment="1" applyBorder="1" applyFont="1">
      <alignment horizontal="center" vertical="center"/>
    </xf>
    <xf borderId="6" fillId="9" fontId="10" numFmtId="0" xfId="0" applyAlignment="1" applyBorder="1" applyFont="1">
      <alignment horizontal="center" vertical="center"/>
    </xf>
    <xf borderId="6" fillId="19" fontId="25" numFmtId="0" xfId="0" applyBorder="1" applyFont="1"/>
    <xf borderId="6" fillId="19" fontId="10" numFmtId="166" xfId="0" applyAlignment="1" applyBorder="1" applyFont="1" applyNumberFormat="1">
      <alignment horizontal="center"/>
    </xf>
    <xf borderId="6" fillId="19" fontId="10" numFmtId="0" xfId="0" applyAlignment="1" applyBorder="1" applyFont="1">
      <alignment horizontal="center"/>
    </xf>
    <xf borderId="12" fillId="19" fontId="7" numFmtId="0" xfId="0" applyAlignment="1" applyBorder="1" applyFont="1">
      <alignment horizontal="center" vertical="center"/>
    </xf>
    <xf borderId="13" fillId="19" fontId="26" numFmtId="0" xfId="0" applyAlignment="1" applyBorder="1" applyFont="1">
      <alignment horizontal="center" vertical="center"/>
    </xf>
    <xf borderId="13" fillId="14" fontId="7" numFmtId="10" xfId="0" applyAlignment="1" applyBorder="1" applyFont="1" applyNumberFormat="1">
      <alignment horizontal="center" vertical="center"/>
    </xf>
    <xf borderId="13" fillId="16" fontId="7" numFmtId="49" xfId="0" applyAlignment="1" applyBorder="1" applyFont="1" applyNumberFormat="1">
      <alignment horizontal="center" vertical="center"/>
    </xf>
    <xf borderId="13" fillId="14" fontId="10" numFmtId="165" xfId="0" applyAlignment="1" applyBorder="1" applyFont="1" applyNumberFormat="1">
      <alignment horizontal="center" vertical="center"/>
    </xf>
    <xf borderId="13" fillId="19" fontId="27" numFmtId="0" xfId="0" applyAlignment="1" applyBorder="1" applyFont="1">
      <alignment horizontal="center" vertical="center"/>
    </xf>
    <xf borderId="13" fillId="18" fontId="10" numFmtId="0" xfId="0" applyAlignment="1" applyBorder="1" applyFont="1">
      <alignment horizontal="center" vertical="center"/>
    </xf>
    <xf borderId="13" fillId="9" fontId="10" numFmtId="0" xfId="0" applyAlignment="1" applyBorder="1" applyFont="1">
      <alignment horizontal="center" vertical="center"/>
    </xf>
    <xf borderId="13" fillId="19" fontId="25" numFmtId="0" xfId="0" applyBorder="1" applyFont="1"/>
    <xf borderId="13" fillId="19" fontId="10" numFmtId="166" xfId="0" applyAlignment="1" applyBorder="1" applyFont="1" applyNumberFormat="1">
      <alignment horizontal="center"/>
    </xf>
    <xf borderId="13" fillId="19" fontId="10" numFmtId="0" xfId="0" applyAlignment="1" applyBorder="1" applyFont="1">
      <alignment horizontal="center"/>
    </xf>
    <xf borderId="13" fillId="19" fontId="7" numFmtId="165" xfId="0" applyAlignment="1" applyBorder="1" applyFont="1" applyNumberFormat="1">
      <alignment horizontal="center" vertical="center"/>
    </xf>
    <xf borderId="4" fillId="19" fontId="28" numFmtId="0" xfId="0" applyAlignment="1" applyBorder="1" applyFont="1">
      <alignment horizontal="center" shrinkToFit="0" vertical="center" wrapText="1"/>
    </xf>
    <xf borderId="4" fillId="25" fontId="10" numFmtId="0" xfId="0" applyAlignment="1" applyBorder="1" applyFill="1" applyFont="1">
      <alignment horizontal="left" shrinkToFit="0" vertical="center" wrapText="1"/>
    </xf>
    <xf borderId="12" fillId="19" fontId="10" numFmtId="0" xfId="0" applyAlignment="1" applyBorder="1" applyFont="1">
      <alignment horizontal="center" shrinkToFit="0" vertical="center" wrapText="1"/>
    </xf>
    <xf borderId="13" fillId="14" fontId="7" numFmtId="10" xfId="0" applyAlignment="1" applyBorder="1" applyFont="1" applyNumberFormat="1">
      <alignment horizontal="center" shrinkToFit="0" vertical="center" wrapText="1"/>
    </xf>
    <xf borderId="13" fillId="16" fontId="7" numFmtId="49" xfId="0" applyAlignment="1" applyBorder="1" applyFont="1" applyNumberFormat="1">
      <alignment horizontal="center" shrinkToFit="0" vertical="center" wrapText="1"/>
    </xf>
    <xf borderId="13" fillId="14" fontId="10" numFmtId="165" xfId="0" applyAlignment="1" applyBorder="1" applyFont="1" applyNumberFormat="1">
      <alignment horizontal="center" shrinkToFit="0" vertical="center" wrapText="1"/>
    </xf>
    <xf borderId="13" fillId="19" fontId="7" numFmtId="165" xfId="0" applyAlignment="1" applyBorder="1" applyFont="1" applyNumberFormat="1">
      <alignment horizontal="center" shrinkToFit="0" vertical="center" wrapText="1"/>
    </xf>
    <xf borderId="13" fillId="19" fontId="29" numFmtId="0" xfId="0" applyAlignment="1" applyBorder="1" applyFont="1">
      <alignment horizontal="center" shrinkToFit="0" vertical="center" wrapText="1"/>
    </xf>
    <xf borderId="13" fillId="18" fontId="10" numFmtId="0" xfId="0" applyAlignment="1" applyBorder="1" applyFont="1">
      <alignment horizontal="center" shrinkToFit="0" vertical="center" wrapText="1"/>
    </xf>
    <xf borderId="13" fillId="19" fontId="25" numFmtId="0" xfId="0" applyAlignment="1" applyBorder="1" applyFont="1">
      <alignment shrinkToFit="0" vertical="center" wrapText="1"/>
    </xf>
    <xf borderId="13" fillId="19" fontId="10" numFmtId="166" xfId="0" applyAlignment="1" applyBorder="1" applyFont="1" applyNumberFormat="1">
      <alignment horizontal="center" shrinkToFit="0" vertical="center" wrapText="1"/>
    </xf>
    <xf borderId="4" fillId="19" fontId="30" numFmtId="0" xfId="0" applyAlignment="1" applyBorder="1" applyFont="1">
      <alignment horizontal="center" vertical="center"/>
    </xf>
    <xf borderId="12" fillId="10" fontId="7" numFmtId="0" xfId="0" applyAlignment="1" applyBorder="1" applyFont="1">
      <alignment horizontal="center" shrinkToFit="0" vertical="center" wrapText="0"/>
    </xf>
    <xf borderId="4" fillId="21" fontId="10" numFmtId="0" xfId="0" applyAlignment="1" applyBorder="1" applyFont="1">
      <alignment horizontal="left" shrinkToFit="0" vertical="center" wrapText="1"/>
    </xf>
    <xf borderId="4" fillId="10" fontId="10" numFmtId="0" xfId="0" applyAlignment="1" applyBorder="1" applyFont="1">
      <alignment horizontal="center" shrinkToFit="0" vertical="center" wrapText="0"/>
    </xf>
    <xf borderId="13" fillId="10" fontId="10" numFmtId="0" xfId="0" applyAlignment="1" applyBorder="1" applyFont="1">
      <alignment horizontal="center" shrinkToFit="0" vertical="center" wrapText="1"/>
    </xf>
    <xf borderId="12" fillId="10" fontId="10" numFmtId="0" xfId="0" applyAlignment="1" applyBorder="1" applyFont="1">
      <alignment horizontal="center" vertical="center"/>
    </xf>
    <xf borderId="13" fillId="10" fontId="10" numFmtId="0" xfId="0" applyAlignment="1" applyBorder="1" applyFont="1">
      <alignment horizontal="center" vertical="center"/>
    </xf>
    <xf borderId="4" fillId="10" fontId="7" numFmtId="0" xfId="0" applyAlignment="1" applyBorder="1" applyFont="1">
      <alignment horizontal="center" shrinkToFit="0" vertical="center" wrapText="0"/>
    </xf>
    <xf borderId="13" fillId="10" fontId="7" numFmtId="0" xfId="0" applyAlignment="1" applyBorder="1" applyFont="1">
      <alignment horizontal="center" shrinkToFit="0" vertical="center" wrapText="0"/>
    </xf>
    <xf borderId="13" fillId="10" fontId="31" numFmtId="0" xfId="0" applyAlignment="1" applyBorder="1" applyFont="1">
      <alignment horizontal="center" shrinkToFit="0" vertical="center" wrapText="0"/>
    </xf>
    <xf borderId="4" fillId="10" fontId="10" numFmtId="0" xfId="0" applyAlignment="1" applyBorder="1" applyFont="1">
      <alignment horizontal="center" shrinkToFit="0" vertical="center" wrapText="1"/>
    </xf>
    <xf borderId="13" fillId="10" fontId="10" numFmtId="166" xfId="0" applyAlignment="1" applyBorder="1" applyFont="1" applyNumberFormat="1">
      <alignment horizontal="center" shrinkToFit="0" vertical="center" wrapText="0"/>
    </xf>
    <xf borderId="4" fillId="10" fontId="32" numFmtId="0" xfId="0" applyAlignment="1" applyBorder="1" applyFont="1">
      <alignment horizontal="center" shrinkToFit="0" vertical="center" wrapText="0"/>
    </xf>
    <xf borderId="4" fillId="10" fontId="10" numFmtId="0" xfId="0" applyAlignment="1" applyBorder="1" applyFont="1">
      <alignment horizontal="left" shrinkToFit="0" vertical="center" wrapText="1"/>
    </xf>
    <xf borderId="4" fillId="10" fontId="33" numFmtId="0" xfId="0" applyAlignment="1" applyBorder="1" applyFont="1">
      <alignment horizontal="center" shrinkToFit="0" vertical="center" wrapText="0"/>
    </xf>
    <xf borderId="4" fillId="10" fontId="34" numFmtId="0" xfId="0" applyAlignment="1" applyBorder="1" applyFont="1">
      <alignment horizontal="center" shrinkToFit="0" vertical="center" wrapText="0"/>
    </xf>
    <xf borderId="4" fillId="10" fontId="10" numFmtId="0" xfId="0" applyAlignment="1" applyBorder="1" applyFont="1">
      <alignment shrinkToFit="0" vertical="center" wrapText="0"/>
    </xf>
    <xf borderId="4" fillId="10" fontId="7" numFmtId="165" xfId="0" applyAlignment="1" applyBorder="1" applyFont="1" applyNumberFormat="1">
      <alignment horizontal="center" shrinkToFit="0" vertical="center" wrapText="0"/>
    </xf>
    <xf borderId="4" fillId="12" fontId="10" numFmtId="0" xfId="0" applyAlignment="1" applyBorder="1" applyFont="1">
      <alignment horizontal="left" shrinkToFit="0" vertical="center" wrapText="1"/>
    </xf>
    <xf borderId="4" fillId="10" fontId="35" numFmtId="0" xfId="0" applyAlignment="1" applyBorder="1" applyFont="1">
      <alignment horizontal="center" shrinkToFit="0" vertical="center" wrapText="0"/>
    </xf>
    <xf borderId="4" fillId="10" fontId="36" numFmtId="0" xfId="0" applyAlignment="1" applyBorder="1" applyFont="1">
      <alignment horizontal="center" shrinkToFit="0" vertical="center" wrapText="0"/>
    </xf>
    <xf borderId="4" fillId="10" fontId="37" numFmtId="0" xfId="0" applyAlignment="1" applyBorder="1" applyFont="1">
      <alignment horizontal="center" shrinkToFit="0" vertical="center" wrapText="0"/>
    </xf>
    <xf borderId="4" fillId="10" fontId="10" numFmtId="3" xfId="0" applyAlignment="1" applyBorder="1" applyFont="1" applyNumberFormat="1">
      <alignment horizontal="center" shrinkToFit="0" vertical="center" wrapText="0"/>
    </xf>
    <xf borderId="4" fillId="26" fontId="7" numFmtId="0" xfId="0" applyAlignment="1" applyBorder="1" applyFill="1" applyFont="1">
      <alignment horizontal="center" shrinkToFit="0" vertical="center" wrapText="0"/>
    </xf>
    <xf borderId="4" fillId="26" fontId="38" numFmtId="0" xfId="0" applyAlignment="1" applyBorder="1" applyFont="1">
      <alignment horizontal="center" shrinkToFit="0" vertical="center" wrapText="0"/>
    </xf>
    <xf borderId="4" fillId="26" fontId="10" numFmtId="0" xfId="0" applyAlignment="1" applyBorder="1" applyFont="1">
      <alignment horizontal="center" shrinkToFit="0" vertical="center" wrapText="0"/>
    </xf>
    <xf borderId="4" fillId="26" fontId="10" numFmtId="0" xfId="0" applyAlignment="1" applyBorder="1" applyFont="1">
      <alignment horizontal="center" shrinkToFit="0" vertical="center" wrapText="1"/>
    </xf>
    <xf borderId="12" fillId="26" fontId="10" numFmtId="0" xfId="0" applyAlignment="1" applyBorder="1" applyFont="1">
      <alignment horizontal="center" vertical="center"/>
    </xf>
    <xf borderId="13" fillId="26" fontId="10" numFmtId="0" xfId="0" applyAlignment="1" applyBorder="1" applyFont="1">
      <alignment horizontal="center" vertical="center"/>
    </xf>
    <xf borderId="13" fillId="26" fontId="7" numFmtId="0" xfId="0" applyAlignment="1" applyBorder="1" applyFont="1">
      <alignment horizontal="center" shrinkToFit="0" vertical="center" wrapText="0"/>
    </xf>
    <xf borderId="4" fillId="26" fontId="10" numFmtId="166" xfId="0" applyAlignment="1" applyBorder="1" applyFont="1" applyNumberFormat="1">
      <alignment horizontal="center" shrinkToFit="0" vertical="center" wrapText="0"/>
    </xf>
    <xf borderId="4" fillId="26" fontId="10" numFmtId="0" xfId="0" applyAlignment="1" applyBorder="1" applyFont="1">
      <alignment horizontal="left" shrinkToFit="0" vertical="center" wrapText="1"/>
    </xf>
    <xf borderId="4" fillId="26" fontId="39" numFmtId="0" xfId="0" applyAlignment="1" applyBorder="1" applyFont="1">
      <alignment horizontal="center" shrinkToFit="0" vertical="center" wrapText="0"/>
    </xf>
    <xf borderId="4" fillId="26" fontId="7" numFmtId="0" xfId="0" applyAlignment="1" applyBorder="1" applyFont="1">
      <alignment horizontal="center" shrinkToFit="0" vertical="center" wrapText="1"/>
    </xf>
    <xf borderId="4" fillId="26" fontId="40" numFmtId="0" xfId="0" applyAlignment="1" applyBorder="1" applyFont="1">
      <alignment horizontal="center" shrinkToFit="0" vertical="center" wrapText="0"/>
    </xf>
    <xf borderId="4" fillId="26" fontId="41" numFmtId="0" xfId="0" applyAlignment="1" applyBorder="1" applyFont="1">
      <alignment horizontal="center" shrinkToFit="0" vertical="center" wrapText="0"/>
    </xf>
    <xf borderId="4" fillId="27" fontId="7" numFmtId="0" xfId="0" applyAlignment="1" applyBorder="1" applyFill="1" applyFont="1">
      <alignment horizontal="center" shrinkToFit="0" vertical="center" wrapText="0"/>
    </xf>
    <xf borderId="4" fillId="27" fontId="42" numFmtId="0" xfId="0" applyAlignment="1" applyBorder="1" applyFont="1">
      <alignment horizontal="center" shrinkToFit="0" vertical="center" wrapText="0"/>
    </xf>
    <xf borderId="4" fillId="27" fontId="10" numFmtId="0" xfId="0" applyAlignment="1" applyBorder="1" applyFont="1">
      <alignment horizontal="center" shrinkToFit="0" vertical="center" wrapText="0"/>
    </xf>
    <xf borderId="4" fillId="27" fontId="10" numFmtId="0" xfId="0" applyAlignment="1" applyBorder="1" applyFont="1">
      <alignment horizontal="center" shrinkToFit="0" vertical="center" wrapText="1"/>
    </xf>
    <xf borderId="12" fillId="27" fontId="10" numFmtId="0" xfId="0" applyAlignment="1" applyBorder="1" applyFont="1">
      <alignment horizontal="center" vertical="center"/>
    </xf>
    <xf borderId="13" fillId="27" fontId="10" numFmtId="0" xfId="0" applyAlignment="1" applyBorder="1" applyFont="1">
      <alignment horizontal="center" vertical="center"/>
    </xf>
    <xf borderId="13" fillId="27" fontId="7" numFmtId="0" xfId="0" applyAlignment="1" applyBorder="1" applyFont="1">
      <alignment horizontal="center" shrinkToFit="0" vertical="center" wrapText="0"/>
    </xf>
    <xf borderId="4" fillId="28" fontId="10" numFmtId="0" xfId="0" applyAlignment="1" applyBorder="1" applyFill="1" applyFont="1">
      <alignment horizontal="center" shrinkToFit="0" vertical="center" wrapText="0"/>
    </xf>
    <xf borderId="4" fillId="28" fontId="10" numFmtId="166" xfId="0" applyAlignment="1" applyBorder="1" applyFont="1" applyNumberFormat="1">
      <alignment horizontal="center" shrinkToFit="0" vertical="center" wrapText="0"/>
    </xf>
    <xf borderId="4" fillId="28" fontId="43" numFmtId="0" xfId="0" applyAlignment="1" applyBorder="1" applyFont="1">
      <alignment horizontal="center" shrinkToFit="0" vertical="center" wrapText="0"/>
    </xf>
    <xf borderId="4" fillId="27" fontId="10" numFmtId="0" xfId="0" applyAlignment="1" applyBorder="1" applyFont="1">
      <alignment horizontal="left" shrinkToFit="0" vertical="center" wrapText="1"/>
    </xf>
    <xf borderId="4" fillId="27" fontId="44" numFmtId="0" xfId="0" applyAlignment="1" applyBorder="1" applyFont="1">
      <alignment horizontal="center" shrinkToFit="0" vertical="center" wrapText="0"/>
    </xf>
    <xf borderId="4" fillId="27" fontId="7" numFmtId="0" xfId="0" applyAlignment="1" applyBorder="1" applyFont="1">
      <alignment horizontal="center" shrinkToFit="0" vertical="center" wrapText="1"/>
    </xf>
    <xf borderId="4" fillId="27" fontId="45" numFmtId="0" xfId="0" applyAlignment="1" applyBorder="1" applyFont="1">
      <alignment horizontal="center" shrinkToFit="0" vertical="center" wrapText="0"/>
    </xf>
    <xf borderId="4" fillId="27" fontId="46" numFmtId="0" xfId="0" applyAlignment="1" applyBorder="1" applyFont="1">
      <alignment horizontal="center" shrinkToFit="0" vertical="center" wrapText="0"/>
    </xf>
    <xf borderId="4" fillId="28" fontId="47" numFmtId="0" xfId="0" applyAlignment="1" applyBorder="1" applyFont="1">
      <alignment horizontal="center" shrinkToFit="0" vertical="center" wrapText="0"/>
    </xf>
    <xf borderId="4" fillId="28" fontId="48" numFmtId="0" xfId="0" applyAlignment="1" applyBorder="1" applyFont="1">
      <alignment horizontal="center" shrinkToFit="0" vertical="center" wrapText="0"/>
    </xf>
    <xf borderId="4" fillId="27" fontId="7" numFmtId="165" xfId="0" applyAlignment="1" applyBorder="1" applyFont="1" applyNumberFormat="1">
      <alignment horizontal="center" shrinkToFit="0" vertical="center" wrapText="0"/>
    </xf>
    <xf borderId="4" fillId="28" fontId="10" numFmtId="0" xfId="0" applyAlignment="1" applyBorder="1" applyFont="1">
      <alignment shrinkToFit="0" vertical="center" wrapText="0"/>
    </xf>
    <xf borderId="4" fillId="23" fontId="7" numFmtId="0" xfId="0" applyAlignment="1" applyBorder="1" applyFont="1">
      <alignment horizontal="center" shrinkToFit="0" vertical="center" wrapText="0"/>
    </xf>
    <xf borderId="4" fillId="23" fontId="49" numFmtId="0" xfId="0" applyAlignment="1" applyBorder="1" applyFont="1">
      <alignment horizontal="center" shrinkToFit="0" vertical="center" wrapText="0"/>
    </xf>
    <xf borderId="4" fillId="23" fontId="10" numFmtId="0" xfId="0" applyAlignment="1" applyBorder="1" applyFont="1">
      <alignment horizontal="left" shrinkToFit="0" vertical="center" wrapText="1"/>
    </xf>
    <xf borderId="4" fillId="29" fontId="10" numFmtId="0" xfId="0" applyAlignment="1" applyBorder="1" applyFill="1" applyFont="1">
      <alignment horizontal="center" shrinkToFit="0" vertical="center" wrapText="0"/>
    </xf>
    <xf borderId="12" fillId="29" fontId="10" numFmtId="0" xfId="0" applyAlignment="1" applyBorder="1" applyFont="1">
      <alignment horizontal="center" vertical="center"/>
    </xf>
    <xf borderId="13" fillId="29" fontId="10" numFmtId="0" xfId="0" applyAlignment="1" applyBorder="1" applyFont="1">
      <alignment horizontal="center" vertical="center"/>
    </xf>
    <xf borderId="4" fillId="29" fontId="7" numFmtId="0" xfId="0" applyAlignment="1" applyBorder="1" applyFont="1">
      <alignment horizontal="center" shrinkToFit="0" vertical="center" wrapText="0"/>
    </xf>
    <xf borderId="4" fillId="29" fontId="7" numFmtId="0" xfId="0" applyAlignment="1" applyBorder="1" applyFont="1">
      <alignment horizontal="center" shrinkToFit="0" vertical="center" wrapText="1"/>
    </xf>
    <xf borderId="4" fillId="29" fontId="50" numFmtId="0" xfId="0" applyAlignment="1" applyBorder="1" applyFont="1">
      <alignment horizontal="center" shrinkToFit="0" vertical="center" wrapText="0"/>
    </xf>
    <xf borderId="13" fillId="29" fontId="7" numFmtId="0" xfId="0" applyAlignment="1" applyBorder="1" applyFont="1">
      <alignment horizontal="center" shrinkToFit="0" vertical="center" wrapText="0"/>
    </xf>
    <xf borderId="4" fillId="29" fontId="7" numFmtId="165" xfId="0" applyAlignment="1" applyBorder="1" applyFont="1" applyNumberFormat="1">
      <alignment horizontal="center" shrinkToFit="0" vertical="center" wrapText="0"/>
    </xf>
    <xf borderId="4" fillId="29" fontId="51" numFmtId="0" xfId="0" applyAlignment="1" applyBorder="1" applyFont="1">
      <alignment horizontal="center" shrinkToFit="0" vertical="center" wrapText="0"/>
    </xf>
    <xf borderId="4" fillId="29" fontId="10" numFmtId="0" xfId="0" applyAlignment="1" applyBorder="1" applyFont="1">
      <alignment horizontal="center" shrinkToFit="0" vertical="center" wrapText="1"/>
    </xf>
    <xf borderId="4" fillId="29" fontId="10" numFmtId="166" xfId="0" applyAlignment="1" applyBorder="1" applyFont="1" applyNumberFormat="1">
      <alignment horizontal="center" shrinkToFit="0" vertical="center" wrapText="0"/>
    </xf>
    <xf borderId="4" fillId="29" fontId="10" numFmtId="0" xfId="0" applyAlignment="1" applyBorder="1" applyFont="1">
      <alignment shrinkToFit="0" vertical="center" wrapText="0"/>
    </xf>
    <xf borderId="4" fillId="29" fontId="52" numFmtId="0" xfId="0" applyAlignment="1" applyBorder="1" applyFont="1">
      <alignment horizontal="center" shrinkToFit="0" vertical="center" wrapText="0"/>
    </xf>
    <xf borderId="13" fillId="23" fontId="53" numFmtId="0" xfId="0" applyAlignment="1" applyBorder="1" applyFont="1">
      <alignment horizontal="center" shrinkToFit="0" vertical="center" wrapText="1"/>
    </xf>
    <xf borderId="4" fillId="29" fontId="54" numFmtId="0" xfId="0" applyAlignment="1" applyBorder="1" applyFont="1">
      <alignment horizontal="center" shrinkToFit="0" vertical="center" wrapText="0"/>
    </xf>
    <xf borderId="6" fillId="23" fontId="10" numFmtId="0" xfId="0" applyAlignment="1" applyBorder="1" applyFont="1">
      <alignment horizontal="left" shrinkToFit="0" vertical="center" wrapText="1"/>
    </xf>
    <xf borderId="6" fillId="29" fontId="10" numFmtId="0" xfId="0" applyAlignment="1" applyBorder="1" applyFont="1">
      <alignment horizontal="center" vertical="center"/>
    </xf>
    <xf borderId="6" fillId="29" fontId="10" numFmtId="0" xfId="0" applyAlignment="1" applyBorder="1" applyFont="1">
      <alignment horizontal="center" shrinkToFit="0" vertical="center" wrapText="1"/>
    </xf>
    <xf borderId="6" fillId="18" fontId="10" numFmtId="0" xfId="0" applyAlignment="1" applyBorder="1" applyFont="1">
      <alignment horizontal="center" vertical="center"/>
    </xf>
    <xf borderId="13" fillId="29" fontId="55" numFmtId="0" xfId="0" applyAlignment="1" applyBorder="1" applyFont="1">
      <alignment horizontal="center" vertical="center"/>
    </xf>
    <xf borderId="6" fillId="29" fontId="25" numFmtId="0" xfId="0" applyBorder="1" applyFont="1"/>
    <xf borderId="6" fillId="29" fontId="10" numFmtId="166" xfId="0" applyAlignment="1" applyBorder="1" applyFont="1" applyNumberFormat="1">
      <alignment horizontal="center"/>
    </xf>
    <xf borderId="6" fillId="29" fontId="10" numFmtId="0" xfId="0" applyBorder="1" applyFont="1"/>
    <xf borderId="6" fillId="29" fontId="56" numFmtId="0" xfId="0" applyAlignment="1" applyBorder="1" applyFont="1">
      <alignment horizontal="center"/>
    </xf>
    <xf borderId="13" fillId="29" fontId="10" numFmtId="0" xfId="0" applyAlignment="1" applyBorder="1" applyFont="1">
      <alignment horizontal="center" shrinkToFit="0" vertical="center" wrapText="1"/>
    </xf>
    <xf borderId="13" fillId="29" fontId="25" numFmtId="0" xfId="0" applyBorder="1" applyFont="1"/>
    <xf borderId="13" fillId="29" fontId="10" numFmtId="166" xfId="0" applyAlignment="1" applyBorder="1" applyFont="1" applyNumberFormat="1">
      <alignment horizontal="center"/>
    </xf>
    <xf borderId="13" fillId="29" fontId="57" numFmtId="0" xfId="0" applyAlignment="1" applyBorder="1" applyFont="1">
      <alignment horizontal="center" vertical="center"/>
    </xf>
    <xf borderId="6" fillId="23" fontId="58" numFmtId="0" xfId="0" applyAlignment="1" applyBorder="1" applyFont="1">
      <alignment horizontal="center" shrinkToFit="0" vertical="center" wrapText="0"/>
    </xf>
    <xf borderId="4" fillId="30" fontId="7" numFmtId="0" xfId="0" applyAlignment="1" applyBorder="1" applyFill="1" applyFont="1">
      <alignment horizontal="center" shrinkToFit="0" vertical="center" wrapText="0"/>
    </xf>
    <xf borderId="6" fillId="30" fontId="59" numFmtId="0" xfId="0" applyAlignment="1" applyBorder="1" applyFont="1">
      <alignment horizontal="center" vertical="center"/>
    </xf>
    <xf borderId="4" fillId="30" fontId="10" numFmtId="0" xfId="0" applyAlignment="1" applyBorder="1" applyFont="1">
      <alignment horizontal="left" shrinkToFit="0" vertical="center" wrapText="1"/>
    </xf>
    <xf borderId="4" fillId="30" fontId="10" numFmtId="0" xfId="0" applyAlignment="1" applyBorder="1" applyFont="1">
      <alignment horizontal="center" shrinkToFit="0" vertical="center" wrapText="0"/>
    </xf>
    <xf borderId="4" fillId="30" fontId="10" numFmtId="0" xfId="0" applyAlignment="1" applyBorder="1" applyFont="1">
      <alignment horizontal="center" shrinkToFit="0" vertical="center" wrapText="1"/>
    </xf>
    <xf borderId="12" fillId="30" fontId="10" numFmtId="0" xfId="0" applyAlignment="1" applyBorder="1" applyFont="1">
      <alignment horizontal="center" vertical="center"/>
    </xf>
    <xf borderId="13" fillId="30" fontId="10" numFmtId="0" xfId="0" applyAlignment="1" applyBorder="1" applyFont="1">
      <alignment horizontal="center" vertical="center"/>
    </xf>
    <xf borderId="13" fillId="30" fontId="7" numFmtId="0" xfId="0" applyAlignment="1" applyBorder="1" applyFont="1">
      <alignment horizontal="center" shrinkToFit="0" vertical="center" wrapText="0"/>
    </xf>
    <xf borderId="6" fillId="14" fontId="7" numFmtId="0" xfId="0" applyAlignment="1" applyBorder="1" applyFont="1">
      <alignment horizontal="center" vertical="center"/>
    </xf>
    <xf borderId="4" fillId="30" fontId="48" numFmtId="0" xfId="0" applyAlignment="1" applyBorder="1" applyFont="1">
      <alignment horizontal="center" shrinkToFit="0" vertical="center" wrapText="0"/>
    </xf>
    <xf borderId="4" fillId="30" fontId="10" numFmtId="166" xfId="0" applyAlignment="1" applyBorder="1" applyFont="1" applyNumberFormat="1">
      <alignment horizontal="center" shrinkToFit="0" vertical="center" wrapText="0"/>
    </xf>
    <xf borderId="4" fillId="30" fontId="10" numFmtId="0" xfId="0" applyAlignment="1" applyBorder="1" applyFont="1">
      <alignment shrinkToFit="0" vertical="center" wrapText="0"/>
    </xf>
    <xf borderId="4" fillId="30" fontId="60" numFmtId="0" xfId="0" applyAlignment="1" applyBorder="1" applyFont="1">
      <alignment horizontal="center" shrinkToFit="0" vertical="center" wrapText="0"/>
    </xf>
    <xf borderId="4" fillId="30" fontId="61" numFmtId="0" xfId="0" applyAlignment="1" applyBorder="1" applyFont="1">
      <alignment horizontal="center" shrinkToFit="0" vertical="center" wrapText="0"/>
    </xf>
    <xf borderId="4" fillId="30" fontId="7" numFmtId="0" xfId="0" applyAlignment="1" applyBorder="1" applyFont="1">
      <alignment horizontal="center" shrinkToFit="0" vertical="center" wrapText="1"/>
    </xf>
    <xf borderId="4" fillId="30" fontId="62" numFmtId="0" xfId="0" applyAlignment="1" applyBorder="1" applyFont="1">
      <alignment horizontal="center" shrinkToFit="0" vertical="center" wrapText="0"/>
    </xf>
    <xf borderId="4" fillId="30" fontId="63" numFmtId="0" xfId="0" applyAlignment="1" applyBorder="1" applyFont="1">
      <alignment horizontal="center" shrinkToFit="0" vertical="center" wrapText="0"/>
    </xf>
    <xf borderId="4" fillId="30" fontId="64" numFmtId="0" xfId="0" applyAlignment="1" applyBorder="1" applyFont="1">
      <alignment horizontal="center" shrinkToFit="0" vertical="center" wrapText="0"/>
    </xf>
    <xf borderId="13" fillId="14" fontId="65" numFmtId="0" xfId="0" applyAlignment="1" applyBorder="1" applyFont="1">
      <alignment horizontal="center" shrinkToFit="0" vertical="center" wrapText="0"/>
    </xf>
    <xf borderId="13" fillId="14" fontId="37" numFmtId="0" xfId="0" applyAlignment="1" applyBorder="1" applyFont="1">
      <alignment horizontal="center" shrinkToFit="0" vertical="center" wrapText="0"/>
    </xf>
    <xf borderId="4" fillId="31" fontId="7" numFmtId="0" xfId="0" applyAlignment="1" applyBorder="1" applyFill="1" applyFont="1">
      <alignment horizontal="center" shrinkToFit="0" vertical="center" wrapText="0"/>
    </xf>
    <xf borderId="4" fillId="31" fontId="66" numFmtId="0" xfId="0" applyAlignment="1" applyBorder="1" applyFont="1">
      <alignment horizontal="center" shrinkToFit="0" vertical="center" wrapText="0"/>
    </xf>
    <xf borderId="4" fillId="31" fontId="10" numFmtId="0" xfId="0" applyAlignment="1" applyBorder="1" applyFont="1">
      <alignment horizontal="left" shrinkToFit="0" vertical="center" wrapText="1"/>
    </xf>
    <xf borderId="4" fillId="31" fontId="10" numFmtId="0" xfId="0" applyAlignment="1" applyBorder="1" applyFont="1">
      <alignment horizontal="center" shrinkToFit="0" vertical="center" wrapText="0"/>
    </xf>
    <xf borderId="4" fillId="31" fontId="48" numFmtId="0" xfId="0" applyAlignment="1" applyBorder="1" applyFont="1">
      <alignment horizontal="center" shrinkToFit="0" vertical="center" wrapText="0"/>
    </xf>
    <xf borderId="12" fillId="31" fontId="10" numFmtId="0" xfId="0" applyAlignment="1" applyBorder="1" applyFont="1">
      <alignment horizontal="center" vertical="center"/>
    </xf>
    <xf borderId="13" fillId="31" fontId="10" numFmtId="0" xfId="0" applyAlignment="1" applyBorder="1" applyFont="1">
      <alignment horizontal="center" vertical="center"/>
    </xf>
    <xf borderId="13" fillId="31" fontId="7" numFmtId="0" xfId="0" applyAlignment="1" applyBorder="1" applyFont="1">
      <alignment horizontal="center" shrinkToFit="0" vertical="center" wrapText="0"/>
    </xf>
    <xf borderId="4" fillId="31" fontId="67" numFmtId="0" xfId="0" applyAlignment="1" applyBorder="1" applyFont="1">
      <alignment horizontal="center" shrinkToFit="0" vertical="center" wrapText="0"/>
    </xf>
    <xf borderId="4" fillId="31" fontId="10" numFmtId="0" xfId="0" applyAlignment="1" applyBorder="1" applyFont="1">
      <alignment horizontal="center" shrinkToFit="0" vertical="center" wrapText="1"/>
    </xf>
    <xf borderId="4" fillId="31" fontId="10" numFmtId="166" xfId="0" applyAlignment="1" applyBorder="1" applyFont="1" applyNumberFormat="1">
      <alignment horizontal="center" shrinkToFit="0" vertical="center" wrapText="0"/>
    </xf>
    <xf borderId="4" fillId="31" fontId="10" numFmtId="0" xfId="0" applyAlignment="1" applyBorder="1" applyFont="1">
      <alignment shrinkToFit="0" vertical="center" wrapText="0"/>
    </xf>
    <xf borderId="4" fillId="31" fontId="7" numFmtId="165" xfId="0" applyAlignment="1" applyBorder="1" applyFont="1" applyNumberFormat="1">
      <alignment horizontal="center" shrinkToFit="0" vertical="center" wrapText="0"/>
    </xf>
    <xf borderId="13" fillId="31" fontId="68" numFmtId="0" xfId="0" applyAlignment="1" applyBorder="1" applyFont="1">
      <alignment horizontal="center" vertical="center"/>
    </xf>
    <xf borderId="4" fillId="32" fontId="69" numFmtId="0" xfId="0" applyAlignment="1" applyBorder="1" applyFill="1" applyFont="1">
      <alignment horizontal="center" shrinkToFit="0" vertical="center" wrapText="0"/>
    </xf>
    <xf borderId="4" fillId="32" fontId="70" numFmtId="0" xfId="0" applyAlignment="1" applyBorder="1" applyFont="1">
      <alignment horizontal="center" shrinkToFit="0" vertical="center" wrapText="0"/>
    </xf>
    <xf borderId="4" fillId="32" fontId="71" numFmtId="0" xfId="0" applyAlignment="1" applyBorder="1" applyFont="1">
      <alignment horizontal="left" shrinkToFit="0" vertical="center" wrapText="1"/>
    </xf>
    <xf borderId="4" fillId="32" fontId="71" numFmtId="0" xfId="0" applyAlignment="1" applyBorder="1" applyFont="1">
      <alignment horizontal="center" shrinkToFit="0" vertical="center" wrapText="0"/>
    </xf>
    <xf borderId="4" fillId="32" fontId="72" numFmtId="0" xfId="0" applyAlignment="1" applyBorder="1" applyFont="1">
      <alignment horizontal="center" shrinkToFit="0" vertical="center" wrapText="0"/>
    </xf>
    <xf borderId="12" fillId="32" fontId="71" numFmtId="0" xfId="0" applyAlignment="1" applyBorder="1" applyFont="1">
      <alignment horizontal="center" vertical="center"/>
    </xf>
    <xf borderId="13" fillId="32" fontId="71" numFmtId="0" xfId="0" applyAlignment="1" applyBorder="1" applyFont="1">
      <alignment horizontal="center" vertical="center"/>
    </xf>
    <xf borderId="13" fillId="32" fontId="69" numFmtId="0" xfId="0" applyAlignment="1" applyBorder="1" applyFont="1">
      <alignment horizontal="center" shrinkToFit="0" vertical="center" wrapText="0"/>
    </xf>
    <xf borderId="4" fillId="32" fontId="7" numFmtId="0" xfId="0" applyAlignment="1" applyBorder="1" applyFont="1">
      <alignment horizontal="center" shrinkToFit="0" vertical="center" wrapText="0"/>
    </xf>
    <xf borderId="4" fillId="33" fontId="7" numFmtId="0" xfId="0" applyAlignment="1" applyBorder="1" applyFill="1" applyFont="1">
      <alignment horizontal="center" shrinkToFit="0" vertical="center" wrapText="0"/>
    </xf>
    <xf borderId="4" fillId="33" fontId="73" numFmtId="0" xfId="0" applyAlignment="1" applyBorder="1" applyFont="1">
      <alignment horizontal="center" shrinkToFit="0" vertical="center" wrapText="0"/>
    </xf>
    <xf borderId="4" fillId="33" fontId="10" numFmtId="0" xfId="0" applyAlignment="1" applyBorder="1" applyFont="1">
      <alignment horizontal="left" shrinkToFit="0" vertical="center" wrapText="1"/>
    </xf>
    <xf borderId="4" fillId="33" fontId="10" numFmtId="0" xfId="0" applyAlignment="1" applyBorder="1" applyFont="1">
      <alignment horizontal="center" shrinkToFit="0" vertical="center" wrapText="0"/>
    </xf>
    <xf borderId="4" fillId="33" fontId="74" numFmtId="0" xfId="0" applyAlignment="1" applyBorder="1" applyFont="1">
      <alignment horizontal="center" shrinkToFit="0" vertical="center" wrapText="0"/>
    </xf>
    <xf borderId="12" fillId="33" fontId="10" numFmtId="0" xfId="0" applyAlignment="1" applyBorder="1" applyFont="1">
      <alignment horizontal="center" vertical="center"/>
    </xf>
    <xf borderId="13" fillId="33" fontId="10" numFmtId="0" xfId="0" applyAlignment="1" applyBorder="1" applyFont="1">
      <alignment horizontal="center" vertical="center"/>
    </xf>
    <xf borderId="13" fillId="33" fontId="7" numFmtId="0" xfId="0" applyAlignment="1" applyBorder="1" applyFont="1">
      <alignment horizontal="center" shrinkToFit="0" vertical="center" wrapText="0"/>
    </xf>
    <xf borderId="4" fillId="33" fontId="10" numFmtId="0" xfId="0" applyAlignment="1" applyBorder="1" applyFont="1">
      <alignment horizontal="center" shrinkToFit="0" vertical="center" wrapText="1"/>
    </xf>
    <xf borderId="4" fillId="33" fontId="10" numFmtId="166" xfId="0" applyAlignment="1" applyBorder="1" applyFont="1" applyNumberFormat="1">
      <alignment horizontal="center" shrinkToFit="0" vertical="center" wrapText="0"/>
    </xf>
    <xf borderId="4" fillId="33" fontId="10" numFmtId="0" xfId="0" applyAlignment="1" applyBorder="1" applyFont="1">
      <alignment shrinkToFit="0" vertical="center" wrapText="0"/>
    </xf>
    <xf borderId="4" fillId="33" fontId="75" numFmtId="0" xfId="0" applyAlignment="1" applyBorder="1" applyFont="1">
      <alignment horizontal="center" shrinkToFit="0" vertical="center" wrapText="0"/>
    </xf>
    <xf borderId="4" fillId="33" fontId="48" numFmtId="0" xfId="0" applyAlignment="1" applyBorder="1" applyFont="1">
      <alignment horizontal="center" shrinkToFit="0" vertical="center" wrapText="0"/>
    </xf>
    <xf borderId="4" fillId="33" fontId="7" numFmtId="165" xfId="0" applyAlignment="1" applyBorder="1" applyFont="1" applyNumberFormat="1">
      <alignment horizontal="center" shrinkToFit="0" vertical="center" wrapText="0"/>
    </xf>
    <xf borderId="13" fillId="33" fontId="10" numFmtId="0" xfId="0" applyAlignment="1" applyBorder="1" applyFont="1">
      <alignment horizontal="center" shrinkToFit="0" vertical="center" wrapText="0"/>
    </xf>
    <xf borderId="4" fillId="33" fontId="76" numFmtId="0" xfId="0" applyAlignment="1" applyBorder="1" applyFont="1">
      <alignment horizontal="center" shrinkToFit="0" vertical="center" wrapText="1"/>
    </xf>
    <xf borderId="4" fillId="33" fontId="10" numFmtId="3" xfId="0" applyAlignment="1" applyBorder="1" applyFont="1" applyNumberFormat="1">
      <alignment horizontal="center" shrinkToFit="0" vertical="center" wrapText="0"/>
    </xf>
    <xf borderId="4" fillId="33" fontId="7" numFmtId="0" xfId="0" applyAlignment="1" applyBorder="1" applyFont="1">
      <alignment horizontal="center" shrinkToFit="0" vertical="center" wrapText="1"/>
    </xf>
    <xf borderId="0" fillId="33" fontId="7" numFmtId="0" xfId="0" applyAlignment="1" applyFont="1">
      <alignment horizontal="center" vertical="center"/>
    </xf>
    <xf borderId="4" fillId="33" fontId="77" numFmtId="0" xfId="0" applyAlignment="1" applyBorder="1" applyFont="1">
      <alignment horizontal="center" shrinkToFit="0" vertical="center" wrapText="0"/>
    </xf>
    <xf borderId="12" fillId="33" fontId="7" numFmtId="0" xfId="0" applyAlignment="1" applyBorder="1" applyFont="1">
      <alignment horizontal="center" shrinkToFit="0" vertical="center" wrapText="0"/>
    </xf>
    <xf borderId="13" fillId="33" fontId="10" numFmtId="0" xfId="0" applyAlignment="1" applyBorder="1" applyFont="1">
      <alignment horizontal="left" shrinkToFit="0" vertical="center" wrapText="1"/>
    </xf>
    <xf borderId="13" fillId="33" fontId="10" numFmtId="3" xfId="0" applyAlignment="1" applyBorder="1" applyFont="1" applyNumberFormat="1">
      <alignment horizontal="center" shrinkToFit="0" vertical="center" wrapText="0"/>
    </xf>
    <xf borderId="4" fillId="33" fontId="36" numFmtId="0" xfId="0" applyAlignment="1" applyBorder="1" applyFont="1">
      <alignment horizontal="center" shrinkToFit="0" vertical="center" wrapText="0"/>
    </xf>
    <xf borderId="13" fillId="14" fontId="7" numFmtId="0" xfId="0" applyAlignment="1" applyBorder="1" applyFont="1">
      <alignment horizontal="center" vertical="center"/>
    </xf>
    <xf borderId="12" fillId="34" fontId="69" numFmtId="0" xfId="0" applyAlignment="1" applyBorder="1" applyFill="1" applyFont="1">
      <alignment horizontal="center" shrinkToFit="0" vertical="center" wrapText="0"/>
    </xf>
    <xf borderId="4" fillId="34" fontId="78" numFmtId="0" xfId="0" applyAlignment="1" applyBorder="1" applyFont="1">
      <alignment horizontal="center" shrinkToFit="0" vertical="center" wrapText="0"/>
    </xf>
    <xf borderId="13" fillId="34" fontId="71" numFmtId="0" xfId="0" applyAlignment="1" applyBorder="1" applyFont="1">
      <alignment horizontal="left" shrinkToFit="0" vertical="center" wrapText="1"/>
    </xf>
    <xf borderId="13" fillId="34" fontId="71" numFmtId="0" xfId="0" applyAlignment="1" applyBorder="1" applyFont="1">
      <alignment horizontal="center" shrinkToFit="0" vertical="center" wrapText="0"/>
    </xf>
    <xf borderId="13" fillId="34" fontId="69" numFmtId="0" xfId="0" applyAlignment="1" applyBorder="1" applyFont="1">
      <alignment horizontal="center" shrinkToFit="0" vertical="center" wrapText="0"/>
    </xf>
    <xf borderId="4" fillId="34" fontId="71" numFmtId="0" xfId="0" applyAlignment="1" applyBorder="1" applyFont="1">
      <alignment horizontal="center" shrinkToFit="0" vertical="center" wrapText="0"/>
    </xf>
    <xf borderId="12" fillId="34" fontId="71" numFmtId="0" xfId="0" applyAlignment="1" applyBorder="1" applyFont="1">
      <alignment horizontal="center" vertical="center"/>
    </xf>
    <xf borderId="13" fillId="34" fontId="71" numFmtId="0" xfId="0" applyAlignment="1" applyBorder="1" applyFont="1">
      <alignment horizontal="center" vertical="center"/>
    </xf>
    <xf borderId="4" fillId="34" fontId="69" numFmtId="0" xfId="0" applyAlignment="1" applyBorder="1" applyFont="1">
      <alignment horizontal="center" shrinkToFit="0" vertical="center" wrapText="0"/>
    </xf>
    <xf borderId="13" fillId="14" fontId="69" numFmtId="10" xfId="0" applyAlignment="1" applyBorder="1" applyFont="1" applyNumberFormat="1">
      <alignment horizontal="center" shrinkToFit="0" vertical="center" wrapText="0"/>
    </xf>
    <xf borderId="13" fillId="16" fontId="69" numFmtId="49" xfId="0" applyAlignment="1" applyBorder="1" applyFont="1" applyNumberFormat="1">
      <alignment horizontal="center" shrinkToFit="0" vertical="center" wrapText="0"/>
    </xf>
    <xf borderId="13" fillId="14" fontId="71" numFmtId="165" xfId="0" applyAlignment="1" applyBorder="1" applyFont="1" applyNumberFormat="1">
      <alignment horizontal="center" shrinkToFit="0" vertical="center" wrapText="0"/>
    </xf>
    <xf borderId="4" fillId="34" fontId="71" numFmtId="0" xfId="0" applyAlignment="1" applyBorder="1" applyFont="1">
      <alignment horizontal="center" shrinkToFit="0" vertical="center" wrapText="1"/>
    </xf>
    <xf borderId="13" fillId="14" fontId="71" numFmtId="0" xfId="0" applyAlignment="1" applyBorder="1" applyFont="1">
      <alignment horizontal="center" shrinkToFit="0" vertical="center" wrapText="0"/>
    </xf>
    <xf borderId="4" fillId="18" fontId="71" numFmtId="0" xfId="0" applyAlignment="1" applyBorder="1" applyFont="1">
      <alignment horizontal="center" shrinkToFit="0" vertical="center" wrapText="0"/>
    </xf>
    <xf borderId="4" fillId="34" fontId="10" numFmtId="0" xfId="0" applyAlignment="1" applyBorder="1" applyFont="1">
      <alignment horizontal="center" shrinkToFit="0" vertical="center" wrapText="0"/>
    </xf>
    <xf borderId="4" fillId="34" fontId="10" numFmtId="166" xfId="0" applyAlignment="1" applyBorder="1" applyFont="1" applyNumberFormat="1">
      <alignment horizontal="center" shrinkToFit="0" vertical="center" wrapText="0"/>
    </xf>
    <xf borderId="4" fillId="34" fontId="10" numFmtId="0" xfId="0" applyAlignment="1" applyBorder="1" applyFont="1">
      <alignment shrinkToFit="0" vertical="center" wrapText="0"/>
    </xf>
    <xf borderId="4" fillId="34" fontId="79" numFmtId="0" xfId="0" applyAlignment="1" applyBorder="1" applyFont="1">
      <alignment horizontal="center" shrinkToFit="0" vertical="center" wrapText="0"/>
    </xf>
    <xf borderId="13" fillId="34" fontId="69" numFmtId="0" xfId="0" applyAlignment="1" applyBorder="1" applyFont="1">
      <alignment horizontal="center" shrinkToFit="0" vertical="center" wrapText="1"/>
    </xf>
    <xf borderId="4" fillId="34" fontId="69" numFmtId="165" xfId="0" applyAlignment="1" applyBorder="1" applyFont="1" applyNumberFormat="1">
      <alignment horizontal="center" shrinkToFit="0" vertical="center" wrapText="0"/>
    </xf>
    <xf borderId="4" fillId="34" fontId="80" numFmtId="0" xfId="0" applyAlignment="1" applyBorder="1" applyFont="1">
      <alignment horizontal="center" shrinkToFit="0" vertical="center" wrapText="0"/>
    </xf>
    <xf borderId="13" fillId="14" fontId="81" numFmtId="0" xfId="0" applyAlignment="1" applyBorder="1" applyFont="1">
      <alignment horizontal="center" shrinkToFit="0" vertical="center" wrapText="0"/>
    </xf>
    <xf borderId="4" fillId="9" fontId="71" numFmtId="0" xfId="0" applyAlignment="1" applyBorder="1" applyFont="1">
      <alignment horizontal="center" shrinkToFit="0" vertical="center" wrapText="0"/>
    </xf>
    <xf borderId="13" fillId="14" fontId="71" numFmtId="0" xfId="0" applyAlignment="1" applyBorder="1" applyFont="1">
      <alignment horizontal="center" shrinkToFit="0" vertical="center" wrapText="1"/>
    </xf>
    <xf borderId="4" fillId="34" fontId="69" numFmtId="0" xfId="0" applyAlignment="1" applyBorder="1" applyFont="1">
      <alignment horizontal="center" shrinkToFit="0" vertical="center" wrapText="1"/>
    </xf>
    <xf borderId="6" fillId="34" fontId="82" numFmtId="0" xfId="0" applyBorder="1" applyFont="1"/>
    <xf borderId="13" fillId="21" fontId="71" numFmtId="0" xfId="0" applyAlignment="1" applyBorder="1" applyFont="1">
      <alignment horizontal="left" shrinkToFit="0" vertical="center" wrapText="1"/>
    </xf>
    <xf borderId="13" fillId="34" fontId="10" numFmtId="0" xfId="0" applyAlignment="1" applyBorder="1" applyFont="1">
      <alignment horizontal="center" shrinkToFit="0" vertical="center" wrapText="0"/>
    </xf>
    <xf borderId="13" fillId="34" fontId="10" numFmtId="0" xfId="0" applyAlignment="1" applyBorder="1" applyFont="1">
      <alignment shrinkToFit="0" vertical="center" wrapText="0"/>
    </xf>
    <xf borderId="13" fillId="34" fontId="83" numFmtId="0" xfId="0" applyAlignment="1" applyBorder="1" applyFont="1">
      <alignment horizontal="center"/>
    </xf>
    <xf borderId="13" fillId="34" fontId="69" numFmtId="165" xfId="0" applyAlignment="1" applyBorder="1" applyFont="1" applyNumberFormat="1">
      <alignment horizontal="center" shrinkToFit="0" vertical="center" wrapText="0"/>
    </xf>
    <xf borderId="4" fillId="34" fontId="71" numFmtId="0" xfId="0" applyAlignment="1" applyBorder="1" applyFont="1">
      <alignment horizontal="left" shrinkToFit="0" vertical="center" wrapText="1"/>
    </xf>
    <xf borderId="0" fillId="34" fontId="71" numFmtId="0" xfId="0" applyAlignment="1" applyFont="1">
      <alignment horizontal="center" shrinkToFit="0" vertical="center" wrapText="0"/>
    </xf>
    <xf borderId="0" fillId="34" fontId="10" numFmtId="0" xfId="0" applyAlignment="1" applyFont="1">
      <alignment horizontal="center" shrinkToFit="0" vertical="center" wrapText="0"/>
    </xf>
    <xf borderId="0" fillId="34" fontId="10" numFmtId="0" xfId="0" applyAlignment="1" applyFont="1">
      <alignment shrinkToFit="0" vertical="center" wrapText="0"/>
    </xf>
    <xf borderId="4" fillId="34" fontId="69" numFmtId="0" xfId="0" applyAlignment="1" applyBorder="1" applyFont="1">
      <alignment horizontal="center" vertical="center"/>
    </xf>
    <xf borderId="13" fillId="34" fontId="84" numFmtId="0" xfId="0" applyAlignment="1" applyBorder="1" applyFont="1">
      <alignment horizontal="center" vertical="center"/>
    </xf>
    <xf borderId="6" fillId="34" fontId="71" numFmtId="0" xfId="0" applyAlignment="1" applyBorder="1" applyFont="1">
      <alignment horizontal="left" shrinkToFit="0" vertical="center" wrapText="1"/>
    </xf>
    <xf borderId="6" fillId="34" fontId="71" numFmtId="0" xfId="0" applyAlignment="1" applyBorder="1" applyFont="1">
      <alignment horizontal="center" vertical="center"/>
    </xf>
    <xf borderId="6" fillId="34" fontId="69" numFmtId="0" xfId="0" applyAlignment="1" applyBorder="1" applyFont="1">
      <alignment horizontal="center" shrinkToFit="0" vertical="center" wrapText="1"/>
    </xf>
    <xf borderId="6" fillId="34" fontId="71" numFmtId="0" xfId="0" applyAlignment="1" applyBorder="1" applyFont="1">
      <alignment horizontal="center" shrinkToFit="0" vertical="center" wrapText="1"/>
    </xf>
    <xf borderId="6" fillId="34" fontId="85" numFmtId="0" xfId="0" applyAlignment="1" applyBorder="1" applyFont="1">
      <alignment horizontal="center" vertical="center"/>
    </xf>
    <xf borderId="6" fillId="34" fontId="69" numFmtId="0" xfId="0" applyAlignment="1" applyBorder="1" applyFont="1">
      <alignment horizontal="center" vertical="center"/>
    </xf>
    <xf borderId="6" fillId="14" fontId="69" numFmtId="10" xfId="0" applyAlignment="1" applyBorder="1" applyFont="1" applyNumberFormat="1">
      <alignment horizontal="center" vertical="center"/>
    </xf>
    <xf borderId="6" fillId="34" fontId="71" numFmtId="165" xfId="0" applyAlignment="1" applyBorder="1" applyFont="1" applyNumberFormat="1">
      <alignment horizontal="center" vertical="center"/>
    </xf>
    <xf borderId="6" fillId="16" fontId="69" numFmtId="49" xfId="0" applyAlignment="1" applyBorder="1" applyFont="1" applyNumberFormat="1">
      <alignment horizontal="center" vertical="center"/>
    </xf>
    <xf borderId="6" fillId="14" fontId="71" numFmtId="165" xfId="0" applyAlignment="1" applyBorder="1" applyFont="1" applyNumberFormat="1">
      <alignment horizontal="center" vertical="center"/>
    </xf>
    <xf borderId="6" fillId="14" fontId="71" numFmtId="0" xfId="0" applyAlignment="1" applyBorder="1" applyFont="1">
      <alignment horizontal="center" vertical="center"/>
    </xf>
    <xf borderId="6" fillId="18" fontId="71" numFmtId="0" xfId="0" applyAlignment="1" applyBorder="1" applyFont="1">
      <alignment horizontal="center" vertical="center"/>
    </xf>
    <xf borderId="6" fillId="9" fontId="71" numFmtId="0" xfId="0" applyAlignment="1" applyBorder="1" applyFont="1">
      <alignment horizontal="center" vertical="center"/>
    </xf>
    <xf borderId="6" fillId="34" fontId="25" numFmtId="0" xfId="0" applyBorder="1" applyFont="1"/>
    <xf borderId="6" fillId="34" fontId="10" numFmtId="166" xfId="0" applyAlignment="1" applyBorder="1" applyFont="1" applyNumberFormat="1">
      <alignment horizontal="center"/>
    </xf>
    <xf borderId="6" fillId="34" fontId="86" numFmtId="0" xfId="0" applyAlignment="1" applyBorder="1" applyFont="1">
      <alignment horizontal="center"/>
    </xf>
    <xf borderId="12" fillId="34" fontId="69" numFmtId="0" xfId="0" applyAlignment="1" applyBorder="1" applyFont="1">
      <alignment horizontal="center" vertical="center"/>
    </xf>
    <xf borderId="13" fillId="34" fontId="71" numFmtId="0" xfId="0" applyAlignment="1" applyBorder="1" applyFont="1">
      <alignment horizontal="center" shrinkToFit="0" vertical="center" wrapText="1"/>
    </xf>
    <xf borderId="13" fillId="34" fontId="87" numFmtId="0" xfId="0" applyAlignment="1" applyBorder="1" applyFont="1">
      <alignment horizontal="center" vertical="center"/>
    </xf>
    <xf borderId="13" fillId="14" fontId="69" numFmtId="10" xfId="0" applyAlignment="1" applyBorder="1" applyFont="1" applyNumberFormat="1">
      <alignment horizontal="center" vertical="center"/>
    </xf>
    <xf borderId="13" fillId="34" fontId="71" numFmtId="165" xfId="0" applyAlignment="1" applyBorder="1" applyFont="1" applyNumberFormat="1">
      <alignment horizontal="center" vertical="center"/>
    </xf>
    <xf borderId="13" fillId="16" fontId="69" numFmtId="49" xfId="0" applyAlignment="1" applyBorder="1" applyFont="1" applyNumberFormat="1">
      <alignment horizontal="center" vertical="center"/>
    </xf>
    <xf borderId="13" fillId="14" fontId="71" numFmtId="165" xfId="0" applyAlignment="1" applyBorder="1" applyFont="1" applyNumberFormat="1">
      <alignment horizontal="center" vertical="center"/>
    </xf>
    <xf borderId="13" fillId="14" fontId="71" numFmtId="0" xfId="0" applyAlignment="1" applyBorder="1" applyFont="1">
      <alignment horizontal="center" vertical="center"/>
    </xf>
    <xf borderId="13" fillId="18" fontId="71" numFmtId="0" xfId="0" applyAlignment="1" applyBorder="1" applyFont="1">
      <alignment horizontal="center" vertical="center"/>
    </xf>
    <xf borderId="13" fillId="9" fontId="71" numFmtId="0" xfId="0" applyAlignment="1" applyBorder="1" applyFont="1">
      <alignment horizontal="center" vertical="center"/>
    </xf>
    <xf borderId="13" fillId="34" fontId="25" numFmtId="0" xfId="0" applyBorder="1" applyFont="1"/>
    <xf borderId="13" fillId="34" fontId="10" numFmtId="166" xfId="0" applyAlignment="1" applyBorder="1" applyFont="1" applyNumberFormat="1">
      <alignment horizontal="center"/>
    </xf>
    <xf borderId="13" fillId="34" fontId="10" numFmtId="0" xfId="0" applyAlignment="1" applyBorder="1" applyFont="1">
      <alignment horizontal="center"/>
    </xf>
    <xf borderId="13" fillId="34" fontId="69" numFmtId="0" xfId="0" applyAlignment="1" applyBorder="1" applyFont="1">
      <alignment horizontal="center" vertical="center"/>
    </xf>
    <xf borderId="4" fillId="34" fontId="88" numFmtId="0" xfId="0" applyAlignment="1" applyBorder="1" applyFont="1">
      <alignment horizontal="center" shrinkToFit="0" vertical="center" wrapText="1"/>
    </xf>
    <xf borderId="4" fillId="34" fontId="71" numFmtId="0" xfId="0" applyAlignment="1" applyBorder="1" applyFont="1">
      <alignment horizontal="center" vertical="center"/>
    </xf>
    <xf borderId="4" fillId="34" fontId="89" numFmtId="0" xfId="0" applyAlignment="1" applyBorder="1" applyFont="1">
      <alignment horizontal="center" vertical="center"/>
    </xf>
    <xf borderId="4" fillId="14" fontId="69" numFmtId="10" xfId="0" applyAlignment="1" applyBorder="1" applyFont="1" applyNumberFormat="1">
      <alignment horizontal="center" vertical="center"/>
    </xf>
    <xf borderId="4" fillId="34" fontId="71" numFmtId="165" xfId="0" applyAlignment="1" applyBorder="1" applyFont="1" applyNumberFormat="1">
      <alignment horizontal="center" vertical="center"/>
    </xf>
    <xf borderId="4" fillId="16" fontId="69" numFmtId="49" xfId="0" applyAlignment="1" applyBorder="1" applyFont="1" applyNumberFormat="1">
      <alignment horizontal="center" vertical="center"/>
    </xf>
    <xf borderId="4" fillId="14" fontId="71" numFmtId="165" xfId="0" applyAlignment="1" applyBorder="1" applyFont="1" applyNumberFormat="1">
      <alignment horizontal="center" vertical="center"/>
    </xf>
    <xf borderId="4" fillId="14" fontId="71" numFmtId="0" xfId="0" applyAlignment="1" applyBorder="1" applyFont="1">
      <alignment horizontal="center" shrinkToFit="0" vertical="center" wrapText="1"/>
    </xf>
    <xf borderId="4" fillId="14" fontId="71" numFmtId="0" xfId="0" applyAlignment="1" applyBorder="1" applyFont="1">
      <alignment horizontal="center" vertical="center"/>
    </xf>
    <xf borderId="4" fillId="18" fontId="71" numFmtId="0" xfId="0" applyAlignment="1" applyBorder="1" applyFont="1">
      <alignment horizontal="center" vertical="center"/>
    </xf>
    <xf borderId="4" fillId="9" fontId="71" numFmtId="0" xfId="0" applyAlignment="1" applyBorder="1" applyFont="1">
      <alignment horizontal="center" vertical="center"/>
    </xf>
    <xf borderId="4" fillId="34" fontId="25" numFmtId="0" xfId="0" applyBorder="1" applyFont="1"/>
    <xf borderId="4" fillId="34" fontId="10" numFmtId="166" xfId="0" applyAlignment="1" applyBorder="1" applyFont="1" applyNumberFormat="1">
      <alignment horizontal="center"/>
    </xf>
    <xf borderId="4" fillId="34" fontId="10" numFmtId="0" xfId="0" applyAlignment="1" applyBorder="1" applyFont="1">
      <alignment horizontal="center"/>
    </xf>
    <xf borderId="4" fillId="22" fontId="7" numFmtId="0" xfId="0" applyAlignment="1" applyBorder="1" applyFont="1">
      <alignment horizontal="center" vertical="center"/>
    </xf>
    <xf borderId="4" fillId="22" fontId="90" numFmtId="0" xfId="0" applyAlignment="1" applyBorder="1" applyFont="1">
      <alignment horizontal="center" shrinkToFit="0" vertical="center" wrapText="1"/>
    </xf>
    <xf borderId="4" fillId="22" fontId="10" numFmtId="0" xfId="0" applyAlignment="1" applyBorder="1" applyFont="1">
      <alignment horizontal="left" shrinkToFit="0" vertical="center" wrapText="1"/>
    </xf>
    <xf borderId="4" fillId="22" fontId="10" numFmtId="0" xfId="0" applyAlignment="1" applyBorder="1" applyFont="1">
      <alignment horizontal="center" vertical="center"/>
    </xf>
    <xf borderId="4" fillId="22" fontId="10" numFmtId="0" xfId="0" applyAlignment="1" applyBorder="1" applyFont="1">
      <alignment horizontal="center" shrinkToFit="0" vertical="center" wrapText="1"/>
    </xf>
    <xf borderId="4" fillId="14" fontId="7" numFmtId="10" xfId="0" applyAlignment="1" applyBorder="1" applyFont="1" applyNumberFormat="1">
      <alignment horizontal="center" vertical="center"/>
    </xf>
    <xf borderId="4" fillId="22" fontId="10" numFmtId="165" xfId="0" applyAlignment="1" applyBorder="1" applyFont="1" applyNumberFormat="1">
      <alignment horizontal="center" vertical="center"/>
    </xf>
    <xf borderId="4" fillId="16" fontId="7" numFmtId="49" xfId="0" applyAlignment="1" applyBorder="1" applyFont="1" applyNumberFormat="1">
      <alignment horizontal="center" vertical="center"/>
    </xf>
    <xf borderId="4" fillId="14" fontId="10" numFmtId="165" xfId="0" applyAlignment="1" applyBorder="1" applyFont="1" applyNumberFormat="1">
      <alignment horizontal="center" vertical="center"/>
    </xf>
    <xf borderId="4" fillId="14" fontId="10" numFmtId="0" xfId="0" applyAlignment="1" applyBorder="1" applyFont="1">
      <alignment horizontal="center" shrinkToFit="0" vertical="center" wrapText="1"/>
    </xf>
    <xf borderId="4" fillId="14" fontId="10" numFmtId="0" xfId="0" applyAlignment="1" applyBorder="1" applyFont="1">
      <alignment horizontal="center" vertical="center"/>
    </xf>
    <xf borderId="4" fillId="18" fontId="10" numFmtId="0" xfId="0" applyAlignment="1" applyBorder="1" applyFont="1">
      <alignment horizontal="center" vertical="center"/>
    </xf>
    <xf borderId="4" fillId="9" fontId="10" numFmtId="0" xfId="0" applyAlignment="1" applyBorder="1" applyFont="1">
      <alignment horizontal="center" vertical="center"/>
    </xf>
    <xf borderId="4" fillId="17" fontId="10" numFmtId="0" xfId="0" applyAlignment="1" applyBorder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38761D"/>
      </font>
      <fill>
        <patternFill patternType="solid">
          <fgColor rgb="FFB6D7A8"/>
          <bgColor rgb="FFB6D7A8"/>
        </patternFill>
      </fill>
      <border/>
    </dxf>
    <dxf>
      <font>
        <color rgb="FF7F6000"/>
      </font>
      <fill>
        <patternFill patternType="solid">
          <fgColor rgb="FFFFE599"/>
          <bgColor rgb="FFFFE599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1155CC"/>
      </font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drive/folders/1_FkRJnQu9jYJeYX5jyudZW_UbFTZMd6c?usp=drive_link" TargetMode="External"/><Relationship Id="rId194" Type="http://schemas.openxmlformats.org/officeDocument/2006/relationships/hyperlink" Target="https://drive.google.com/drive/folders/1ibqxGDrLqimGb88Xk8jR6KPk2LgPUeH9?usp=drive_link" TargetMode="External"/><Relationship Id="rId193" Type="http://schemas.openxmlformats.org/officeDocument/2006/relationships/hyperlink" Target="https://drive.google.com/drive/folders/1WEVw8rbZInd_m4i0FuD9EF44CoGzalI_?usp=drive_link" TargetMode="External"/><Relationship Id="rId192" Type="http://schemas.openxmlformats.org/officeDocument/2006/relationships/hyperlink" Target="https://drive.google.com/drive/folders/129a4UYQzHRyNxIoHZasbWABIGZ92Ujp9?usp=drive_link" TargetMode="External"/><Relationship Id="rId191" Type="http://schemas.openxmlformats.org/officeDocument/2006/relationships/hyperlink" Target="https://drive.google.com/drive/folders/1Fh7BOQyNANUR4dO0H5PQlvbyjG5kL06u?usp=drive_link" TargetMode="External"/><Relationship Id="rId187" Type="http://schemas.openxmlformats.org/officeDocument/2006/relationships/hyperlink" Target="https://emec.mec.gov.br/emec/consulta-cadastro/detalhamento/d96957f455f6405d14c6542552b0f6eb/NDA5/93916316abe23148507bd4c260e4b878/MTM0NDg1" TargetMode="External"/><Relationship Id="rId186" Type="http://schemas.openxmlformats.org/officeDocument/2006/relationships/hyperlink" Target="https://drive.google.com/drive/folders/1DnlaSGBFWdp9OD61j1epv_DEttz-txIb?usp=drive_link" TargetMode="External"/><Relationship Id="rId185" Type="http://schemas.openxmlformats.org/officeDocument/2006/relationships/hyperlink" Target="https://drive.google.com/drive/folders/1hvpbD1JZLUlPXPbXOjQxUYxROt-YSe7b?usp=drive_link" TargetMode="External"/><Relationship Id="rId184" Type="http://schemas.openxmlformats.org/officeDocument/2006/relationships/hyperlink" Target="https://drive.google.com/file/d/1fSNyMPCnvHQwzA31bBbk2Y5UuuCzTRfn/view?usp=sharing" TargetMode="External"/><Relationship Id="rId189" Type="http://schemas.openxmlformats.org/officeDocument/2006/relationships/hyperlink" Target="https://drive.google.com/drive/folders/1NCjWh7VBDFufPlHi8z6jZsjGgJT8owEo?usp=drive_link" TargetMode="External"/><Relationship Id="rId188" Type="http://schemas.openxmlformats.org/officeDocument/2006/relationships/hyperlink" Target="https://drive.google.com/drive/folders/1vXoA6RdB2x9sWtpG7Y-DturFt9jsF3X0?usp=drive_link" TargetMode="External"/><Relationship Id="rId183" Type="http://schemas.openxmlformats.org/officeDocument/2006/relationships/hyperlink" Target="https://drive.google.com/file/d/1t_UO__kuDkC3mipwS_0g2AcR8T_SLnEf/view?usp=sharing" TargetMode="External"/><Relationship Id="rId182" Type="http://schemas.openxmlformats.org/officeDocument/2006/relationships/hyperlink" Target="https://drive.google.com/file/d/17WIDhCW1yi5kgpVxYE94oFWsBRJGEJ69/view?usp=sharing" TargetMode="External"/><Relationship Id="rId181" Type="http://schemas.openxmlformats.org/officeDocument/2006/relationships/hyperlink" Target="https://drive.google.com/file/d/1HMOGIVFHSmAWvE1RMeH3tZzlJb_6HT0V/view?usp=sharing" TargetMode="External"/><Relationship Id="rId180" Type="http://schemas.openxmlformats.org/officeDocument/2006/relationships/hyperlink" Target="https://drive.google.com/file/d/1gq0qw2DVUQ6CmQDhB4TMkX67qgkCNNOv/view?usp=sharing" TargetMode="External"/><Relationship Id="rId176" Type="http://schemas.openxmlformats.org/officeDocument/2006/relationships/hyperlink" Target="http://lattes.cnpq.br/1797690171713869" TargetMode="External"/><Relationship Id="rId297" Type="http://schemas.openxmlformats.org/officeDocument/2006/relationships/hyperlink" Target="http://upe.br/matanorte/lato-sensu/" TargetMode="External"/><Relationship Id="rId175" Type="http://schemas.openxmlformats.org/officeDocument/2006/relationships/hyperlink" Target="https://drive.google.com/drive/folders/13-ErAdtdAnIPdxoKifCo4jieAIQ538gr?usp=drive_link" TargetMode="External"/><Relationship Id="rId296" Type="http://schemas.openxmlformats.org/officeDocument/2006/relationships/hyperlink" Target="https://drive.google.com/file/d/1TTBhl62-9JHix5r3xJ-RYCHRkEFRINIR/view" TargetMode="External"/><Relationship Id="rId174" Type="http://schemas.openxmlformats.org/officeDocument/2006/relationships/hyperlink" Target="https://drive.google.com/file/d/1KxhaTmcb1rT1Cmpb7u_FSQbiHOL1WdlW/view?usp=drive_link" TargetMode="External"/><Relationship Id="rId295" Type="http://schemas.openxmlformats.org/officeDocument/2006/relationships/hyperlink" Target="https://drive.google.com/drive/folders/1Khj2jOVLDWKMm_s5iWgHUAELC8IPHMvz?usp=drive_link" TargetMode="External"/><Relationship Id="rId173" Type="http://schemas.openxmlformats.org/officeDocument/2006/relationships/hyperlink" Target="http://lattes.cnpq.br/3604533312154051" TargetMode="External"/><Relationship Id="rId294" Type="http://schemas.openxmlformats.org/officeDocument/2006/relationships/hyperlink" Target="https://drive.google.com/file/d/1h77ok8HMFxu35vLyWVC7jWJ-FepQg_iP/view?usp=sharing" TargetMode="External"/><Relationship Id="rId179" Type="http://schemas.openxmlformats.org/officeDocument/2006/relationships/hyperlink" Target="https://drive.google.com/file/d/1n3LtAzNa-mOVIfZnKxSAyTjBqHiNZpCx/view?usp=sharing" TargetMode="External"/><Relationship Id="rId178" Type="http://schemas.openxmlformats.org/officeDocument/2006/relationships/hyperlink" Target="https://emec.mec.gov.br/emec/consulta-cadastro/detalhamento/d96957f455f6405d14c6542552b0f6eb/NDA5/93916316abe23148507bd4c260e4b878/MjAxOTM2" TargetMode="External"/><Relationship Id="rId299" Type="http://schemas.openxmlformats.org/officeDocument/2006/relationships/hyperlink" Target="https://drive.google.com/file/d/1jQOU-3fQ8pSOwXfDoNyV6as-XXQw2snc/view" TargetMode="External"/><Relationship Id="rId177" Type="http://schemas.openxmlformats.org/officeDocument/2006/relationships/hyperlink" Target="https://drive.google.com/file/d/1tjZ0emY4TasrmufarDVmEt4bWOsa23oM/view?usp=drive_link" TargetMode="External"/><Relationship Id="rId298" Type="http://schemas.openxmlformats.org/officeDocument/2006/relationships/hyperlink" Target="https://drive.google.com/drive/folders/1uQYZ3ND5TLK-_22EOtxq9adMkbXcTC6R?usp=drive_link" TargetMode="External"/><Relationship Id="rId198" Type="http://schemas.openxmlformats.org/officeDocument/2006/relationships/hyperlink" Target="http://lattes.cnpq.br/5544280986311367" TargetMode="External"/><Relationship Id="rId197" Type="http://schemas.openxmlformats.org/officeDocument/2006/relationships/hyperlink" Target="https://drive.google.com/drive/folders/1fu6O2_3otpHZdAqPTck5IG5TgUqfSd2Z?usp=drive_link" TargetMode="External"/><Relationship Id="rId196" Type="http://schemas.openxmlformats.org/officeDocument/2006/relationships/hyperlink" Target="https://emec.mec.gov.br/emec/consulta-cadastro/detalhamento/d96957f455f6405d14c6542552b0f6eb/NDA5/93916316abe23148507bd4c260e4b878/MzI1MjE=" TargetMode="External"/><Relationship Id="rId195" Type="http://schemas.openxmlformats.org/officeDocument/2006/relationships/hyperlink" Target="https://drive.google.com/drive/folders/1KThBpky7I9t-zFjKqPsXX-SJVNiW8SCD?usp=drive_link" TargetMode="External"/><Relationship Id="rId199" Type="http://schemas.openxmlformats.org/officeDocument/2006/relationships/hyperlink" Target="https://drive.google.com/file/d/1ZRevwR7RyfCf7IMMCnRlUJ_MxYd00L1v/view?usp=drive_link" TargetMode="External"/><Relationship Id="rId150" Type="http://schemas.openxmlformats.org/officeDocument/2006/relationships/hyperlink" Target="http://www.planalto.gov.br/ccivil_03/leis/l6932.htm" TargetMode="External"/><Relationship Id="rId271" Type="http://schemas.openxmlformats.org/officeDocument/2006/relationships/hyperlink" Target="https://drive.google.com/drive/folders/1l2BDedmRFw3enQU8GM_saOy16tR-OR_y?usp=drive_link" TargetMode="External"/><Relationship Id="rId392" Type="http://schemas.openxmlformats.org/officeDocument/2006/relationships/hyperlink" Target="https://drive.google.com/drive/folders/1qe4TTG-int_hUaUmpjmDt9ObOWFHsJiH?usp=sharing" TargetMode="External"/><Relationship Id="rId270" Type="http://schemas.openxmlformats.org/officeDocument/2006/relationships/hyperlink" Target="https://emec.mec.gov.br/emec/consulta-cadastro/detalhamento/d96957f455f6405d14c6542552b0f6eb/NDA5/93916316abe23148507bd4c260e4b878/Mjg5NzE=" TargetMode="External"/><Relationship Id="rId391" Type="http://schemas.openxmlformats.org/officeDocument/2006/relationships/hyperlink" Target="https://drive.google.com/file/d/1Au0jKDhCq1Ep6GT-WS5SGC9slnAl9azm/view?usp=drive_link" TargetMode="External"/><Relationship Id="rId390" Type="http://schemas.openxmlformats.org/officeDocument/2006/relationships/hyperlink" Target="http://lattes.cnpq.br/9745937989094036" TargetMode="External"/><Relationship Id="rId1" Type="http://schemas.openxmlformats.org/officeDocument/2006/relationships/hyperlink" Target="http://upe.br/" TargetMode="External"/><Relationship Id="rId2" Type="http://schemas.openxmlformats.org/officeDocument/2006/relationships/hyperlink" Target="https://emec.mec.gov.br/emec/consulta-cadastro/detalhamento/d96957f455f6405d14c6542552b0f6eb/NDA5" TargetMode="External"/><Relationship Id="rId3" Type="http://schemas.openxmlformats.org/officeDocument/2006/relationships/hyperlink" Target="https://drive.google.com/file/d/1N_eCU1y8txA8Urw0RU0xtavSLgHSRMRe/view?usp=sharing" TargetMode="External"/><Relationship Id="rId149" Type="http://schemas.openxmlformats.org/officeDocument/2006/relationships/hyperlink" Target="http://www.planalto.gov.br/ccivil_03/leis/l6932.htm" TargetMode="External"/><Relationship Id="rId4" Type="http://schemas.openxmlformats.org/officeDocument/2006/relationships/hyperlink" Target="https://drive.google.com/file/d/19mShBSTeuoad70Cyb77qQr3YddYKRJSz/view?usp=sharing" TargetMode="External"/><Relationship Id="rId148" Type="http://schemas.openxmlformats.org/officeDocument/2006/relationships/hyperlink" Target="http://www.planalto.gov.br/ccivil_03/leis/l6932.htm" TargetMode="External"/><Relationship Id="rId269" Type="http://schemas.openxmlformats.org/officeDocument/2006/relationships/hyperlink" Target="https://drive.google.com/drive/folders/1hFFgKrTGuKdHbjJ2E4zrDWfyVOxkukpp?usp=drive_link" TargetMode="External"/><Relationship Id="rId9" Type="http://schemas.openxmlformats.org/officeDocument/2006/relationships/hyperlink" Target="https://drive.google.com/file/d/14KWARtWdidgZ6Xw4tyZCYoHJ_54uWUQA/view?usp=sharing" TargetMode="External"/><Relationship Id="rId143" Type="http://schemas.openxmlformats.org/officeDocument/2006/relationships/hyperlink" Target="http://www.planalto.gov.br/ccivil_03/leis/l6932.htm" TargetMode="External"/><Relationship Id="rId264" Type="http://schemas.openxmlformats.org/officeDocument/2006/relationships/hyperlink" Target="https://drive.google.com/file/d/1SS1iFYiNH1EvGUnyLnXYgJXYmWxrTiDq/view?usp=sharing" TargetMode="External"/><Relationship Id="rId385" Type="http://schemas.openxmlformats.org/officeDocument/2006/relationships/hyperlink" Target="http://lattes.cnpq.br/6152592335669549" TargetMode="External"/><Relationship Id="rId142" Type="http://schemas.openxmlformats.org/officeDocument/2006/relationships/hyperlink" Target="http://www.planalto.gov.br/ccivil_03/leis/l6932.htm" TargetMode="External"/><Relationship Id="rId263" Type="http://schemas.openxmlformats.org/officeDocument/2006/relationships/hyperlink" Target="https://drive.google.com/file/d/15j82VGS0BY0lZVxVYZ68c8VyH22oPK4U/view?usp=sharing" TargetMode="External"/><Relationship Id="rId384" Type="http://schemas.openxmlformats.org/officeDocument/2006/relationships/hyperlink" Target="https://drive.google.com/drive/folders/1dH9-HE6YilWuVDVWJjX2c2qxaL0n8D-9?usp=sharing" TargetMode="External"/><Relationship Id="rId141" Type="http://schemas.openxmlformats.org/officeDocument/2006/relationships/hyperlink" Target="http://www.planalto.gov.br/ccivil_03/leis/l6932.htm" TargetMode="External"/><Relationship Id="rId262" Type="http://schemas.openxmlformats.org/officeDocument/2006/relationships/hyperlink" Target="https://drive.google.com/file/d/1mb53l71IgZi1VVBAo5sTOAwoknSLR3yR/view?usp=drive_link" TargetMode="External"/><Relationship Id="rId383" Type="http://schemas.openxmlformats.org/officeDocument/2006/relationships/hyperlink" Target="https://emec.mec.gov.br/emec/consulta-cadastro/detalhamento/d96957f455f6405d14c6542552b0f6eb/NDA5/93916316abe23148507bd4c260e4b878/Mjk4NzE=" TargetMode="External"/><Relationship Id="rId140" Type="http://schemas.openxmlformats.org/officeDocument/2006/relationships/hyperlink" Target="http://www.planalto.gov.br/ccivil_03/leis/l6932.htm" TargetMode="External"/><Relationship Id="rId261" Type="http://schemas.openxmlformats.org/officeDocument/2006/relationships/hyperlink" Target="http://lattes.cnpq.br/2537203877318701" TargetMode="External"/><Relationship Id="rId382" Type="http://schemas.openxmlformats.org/officeDocument/2006/relationships/hyperlink" Target="https://drive.google.com/file/d/1PraQmeJfwnPfogU--j4Cg_Ip2NJ-s7zb/view?usp=drive_link" TargetMode="External"/><Relationship Id="rId5" Type="http://schemas.openxmlformats.org/officeDocument/2006/relationships/hyperlink" Target="https://drive.google.com/file/d/1QGpiFxphxLQ8Ja3K7Co82OSnhl-OEg6S/view?usp=drive_link" TargetMode="External"/><Relationship Id="rId147" Type="http://schemas.openxmlformats.org/officeDocument/2006/relationships/hyperlink" Target="http://www.planalto.gov.br/ccivil_03/leis/l6932.htm" TargetMode="External"/><Relationship Id="rId268" Type="http://schemas.openxmlformats.org/officeDocument/2006/relationships/hyperlink" Target="https://emec.mec.gov.br/emec/consulta-cadastro/detalhamento/d96957f455f6405d14c6542552b0f6eb/NDA5/93916316abe23148507bd4c260e4b878/Mjg2NTg=" TargetMode="External"/><Relationship Id="rId389" Type="http://schemas.openxmlformats.org/officeDocument/2006/relationships/hyperlink" Target="https://drive.google.com/drive/folders/1taDQWEE0QX-BrvB-MDf0v3T2p7ii_38B?usp=sharing" TargetMode="External"/><Relationship Id="rId6" Type="http://schemas.openxmlformats.org/officeDocument/2006/relationships/hyperlink" Target="https://docs.google.com/spreadsheets/d/1zk1WlVEZtvxwCD3grCCH24Ej9IZm-igRwYZsL3ZYiHE/edit?usp=sharing" TargetMode="External"/><Relationship Id="rId146" Type="http://schemas.openxmlformats.org/officeDocument/2006/relationships/hyperlink" Target="http://www.planalto.gov.br/ccivil_03/leis/l6932.htm" TargetMode="External"/><Relationship Id="rId267" Type="http://schemas.openxmlformats.org/officeDocument/2006/relationships/hyperlink" Target="https://drive.google.com/drive/folders/1uxAst2l1SJ5g9pRUoVFON5GF5doiTh9u?usp=drive_link" TargetMode="External"/><Relationship Id="rId388" Type="http://schemas.openxmlformats.org/officeDocument/2006/relationships/hyperlink" Target="https://drive.google.com/drive/folders/1OgnVLcKAGKAAJi-q8Q8NQrmvSPKGY--7?usp=drive_link" TargetMode="External"/><Relationship Id="rId7" Type="http://schemas.openxmlformats.org/officeDocument/2006/relationships/hyperlink" Target="https://drive.google.com/drive/folders/1A0Au-9gMc-3a4DweR5rFZ5MRYtaMmj80?usp=sharing" TargetMode="External"/><Relationship Id="rId145" Type="http://schemas.openxmlformats.org/officeDocument/2006/relationships/hyperlink" Target="http://www.planalto.gov.br/ccivil_03/leis/l6932.htm" TargetMode="External"/><Relationship Id="rId266" Type="http://schemas.openxmlformats.org/officeDocument/2006/relationships/hyperlink" Target="https://drive.google.com/drive/folders/1sb1CB9zSv90xUgOCGdJcRKQHd6xcPt2q?usp=drive_link" TargetMode="External"/><Relationship Id="rId387" Type="http://schemas.openxmlformats.org/officeDocument/2006/relationships/hyperlink" Target="https://drive.google.com/drive/folders/15FuF-mzwS0m1MYmQwDTBy_PKj5zoG2Gj?usp=drive_link" TargetMode="External"/><Relationship Id="rId8" Type="http://schemas.openxmlformats.org/officeDocument/2006/relationships/hyperlink" Target="http://lattes.cnpq.br/1953193517646332" TargetMode="External"/><Relationship Id="rId144" Type="http://schemas.openxmlformats.org/officeDocument/2006/relationships/hyperlink" Target="http://www.planalto.gov.br/ccivil_03/leis/l6932.htm" TargetMode="External"/><Relationship Id="rId265" Type="http://schemas.openxmlformats.org/officeDocument/2006/relationships/hyperlink" Target="https://drive.google.com/file/d/1hOvF6IW4yJ50acK_MamOQtgX-UjdALiR/view?usp=sharing" TargetMode="External"/><Relationship Id="rId386" Type="http://schemas.openxmlformats.org/officeDocument/2006/relationships/hyperlink" Target="https://drive.google.com/file/d/1_RKfGg07RngGYXgar5jdDcKPRkF4OfWS/view?usp=drive_link" TargetMode="External"/><Relationship Id="rId260" Type="http://schemas.openxmlformats.org/officeDocument/2006/relationships/hyperlink" Target="https://drive.google.com/drive/folders/1uwRuL6caiLbWSahBtgNaGOZLa9kbhQJn?usp=drive_link" TargetMode="External"/><Relationship Id="rId381" Type="http://schemas.openxmlformats.org/officeDocument/2006/relationships/hyperlink" Target="http://lattes.cnpq.br/9095999560647095" TargetMode="External"/><Relationship Id="rId380" Type="http://schemas.openxmlformats.org/officeDocument/2006/relationships/hyperlink" Target="https://drive.google.com/drive/folders/1Gwh2vlCeabctrCm4rPh0xKH6TvFQzpgS?usp=sharing" TargetMode="External"/><Relationship Id="rId139" Type="http://schemas.openxmlformats.org/officeDocument/2006/relationships/hyperlink" Target="http://www.planalto.gov.br/ccivil_03/leis/l6932.htm" TargetMode="External"/><Relationship Id="rId138" Type="http://schemas.openxmlformats.org/officeDocument/2006/relationships/hyperlink" Target="http://www.planalto.gov.br/ccivil_03/leis/l6932.htm" TargetMode="External"/><Relationship Id="rId259" Type="http://schemas.openxmlformats.org/officeDocument/2006/relationships/hyperlink" Target="https://emec.mec.gov.br/emec/consulta-cadastro/detalhamento/d96957f455f6405d14c6542552b0f6eb/NDA5/93916316abe23148507bd4c260e4b878/MTM0NDg0" TargetMode="External"/><Relationship Id="rId137" Type="http://schemas.openxmlformats.org/officeDocument/2006/relationships/hyperlink" Target="http://www.planalto.gov.br/ccivil_03/leis/l6932.htm" TargetMode="External"/><Relationship Id="rId258" Type="http://schemas.openxmlformats.org/officeDocument/2006/relationships/hyperlink" Target="https://drive.google.com/drive/folders/1VANazRBA7tq3-hNj77mmapNGgHfumdyZ?usp=drive_link" TargetMode="External"/><Relationship Id="rId379" Type="http://schemas.openxmlformats.org/officeDocument/2006/relationships/hyperlink" Target="https://drive.google.com/drive/folders/1ItNXwRS9-CE3zdbXTaRATZRO7QUAJ8RG?usp=drive_link" TargetMode="External"/><Relationship Id="rId132" Type="http://schemas.openxmlformats.org/officeDocument/2006/relationships/hyperlink" Target="http://www.planalto.gov.br/ccivil_03/leis/l6932.htm" TargetMode="External"/><Relationship Id="rId253" Type="http://schemas.openxmlformats.org/officeDocument/2006/relationships/hyperlink" Target="http://lattes.cnpq.br/5946518736077473" TargetMode="External"/><Relationship Id="rId374" Type="http://schemas.openxmlformats.org/officeDocument/2006/relationships/hyperlink" Target="https://drive.google.com/drive/folders/1PhQBWrOgKqjCq1KeD-1--2ujimY0CLC2?usp=drive_link" TargetMode="External"/><Relationship Id="rId131" Type="http://schemas.openxmlformats.org/officeDocument/2006/relationships/hyperlink" Target="http://www.planalto.gov.br/ccivil_03/leis/l6932.htm" TargetMode="External"/><Relationship Id="rId252" Type="http://schemas.openxmlformats.org/officeDocument/2006/relationships/hyperlink" Target="https://drive.google.com/drive/folders/1ylZd5lgYyD19N24a-Xy3k-gznaEj1EFw?usp=drive_link" TargetMode="External"/><Relationship Id="rId373" Type="http://schemas.openxmlformats.org/officeDocument/2006/relationships/hyperlink" Target="https://drive.google.com/drive/folders/1XNMx_fEkBUOXjK_3jUitmxR_k3e4woxG?usp=drive_link" TargetMode="External"/><Relationship Id="rId130" Type="http://schemas.openxmlformats.org/officeDocument/2006/relationships/hyperlink" Target="http://www.planalto.gov.br/ccivil_03/leis/l6932.htm" TargetMode="External"/><Relationship Id="rId251" Type="http://schemas.openxmlformats.org/officeDocument/2006/relationships/hyperlink" Target="https://drive.google.com/drive/folders/1-WM4PVz_8UC2OaIaQs4MHkXIynJpJLi_?usp=drive_link" TargetMode="External"/><Relationship Id="rId372" Type="http://schemas.openxmlformats.org/officeDocument/2006/relationships/hyperlink" Target="https://drive.google.com/file/d/12Jd8NbJdnJKlittQnc3qFv_o4D0inBfj/view?usp=sharing" TargetMode="External"/><Relationship Id="rId250" Type="http://schemas.openxmlformats.org/officeDocument/2006/relationships/hyperlink" Target="https://drive.google.com/drive/folders/1WbvCrIxyEaSDpXkbne77ob0DKkQ1G2ay?usp=drive_link" TargetMode="External"/><Relationship Id="rId371" Type="http://schemas.openxmlformats.org/officeDocument/2006/relationships/hyperlink" Target="https://drive.google.com/drive/folders/1eJAPkJ2h7IBcPooGMNIdFFnhly37Ayjx?usp=drive_link" TargetMode="External"/><Relationship Id="rId136" Type="http://schemas.openxmlformats.org/officeDocument/2006/relationships/hyperlink" Target="http://www.planalto.gov.br/ccivil_03/leis/l6932.htm" TargetMode="External"/><Relationship Id="rId257" Type="http://schemas.openxmlformats.org/officeDocument/2006/relationships/hyperlink" Target="http://www.upenet.com.br/," TargetMode="External"/><Relationship Id="rId378" Type="http://schemas.openxmlformats.org/officeDocument/2006/relationships/hyperlink" Target="https://emec.mec.gov.br/emec/consulta-cadastro/detalhamento/d96957f455f6405d14c6542552b0f6eb/NDA5/93916316abe23148507bd4c260e4b878/Mjk4MzM=" TargetMode="External"/><Relationship Id="rId135" Type="http://schemas.openxmlformats.org/officeDocument/2006/relationships/hyperlink" Target="http://www.planalto.gov.br/ccivil_03/leis/l6932.htm" TargetMode="External"/><Relationship Id="rId256" Type="http://schemas.openxmlformats.org/officeDocument/2006/relationships/hyperlink" Target="https://emec.mec.gov.br/emec/consulta-cadastro/detalhamento/d96957f455f6405d14c6542552b0f6eb/NDA5/93916316abe23148507bd4c260e4b878/MjkyMDM=" TargetMode="External"/><Relationship Id="rId377" Type="http://schemas.openxmlformats.org/officeDocument/2006/relationships/hyperlink" Target="https://drive.google.com/file/d/1_k7X2eU14DYS7NPynPr0cYe6fUtMU3Ji/view" TargetMode="External"/><Relationship Id="rId134" Type="http://schemas.openxmlformats.org/officeDocument/2006/relationships/hyperlink" Target="http://www.planalto.gov.br/ccivil_03/leis/l6932.htm" TargetMode="External"/><Relationship Id="rId255" Type="http://schemas.openxmlformats.org/officeDocument/2006/relationships/hyperlink" Target="https://drive.google.com/drive/folders/1nEjhXVfQXrzmYQ5-O9rSc0WRIo6GW2G5?usp=drive_link" TargetMode="External"/><Relationship Id="rId376" Type="http://schemas.openxmlformats.org/officeDocument/2006/relationships/hyperlink" Target="https://drive.google.com/file/d/1CIjhV6eOuaxWS3pwUU9D4dh3AuR7CG0J/view" TargetMode="External"/><Relationship Id="rId133" Type="http://schemas.openxmlformats.org/officeDocument/2006/relationships/hyperlink" Target="http://www.planalto.gov.br/ccivil_03/leis/l6932.htm" TargetMode="External"/><Relationship Id="rId254" Type="http://schemas.openxmlformats.org/officeDocument/2006/relationships/hyperlink" Target="https://drive.google.com/file/d/1ZKFFodAAEzgGZaHF-H3GQIzeSq-3KkNC/view?usp=drive_link" TargetMode="External"/><Relationship Id="rId375" Type="http://schemas.openxmlformats.org/officeDocument/2006/relationships/hyperlink" Target="http://lattes.cnpq.br/8352968932896657" TargetMode="External"/><Relationship Id="rId172" Type="http://schemas.openxmlformats.org/officeDocument/2006/relationships/hyperlink" Target="https://drive.google.com/drive/folders/1JBKXoT7PHNL6q3-miLhuvU8V3QaujdIn?usp=drive_link" TargetMode="External"/><Relationship Id="rId293" Type="http://schemas.openxmlformats.org/officeDocument/2006/relationships/hyperlink" Target="https://drive.google.com/file/d/1A4cgxYbV2uXJYvvT3WJylx5CCzaTvGjZ/view?usp=sharing" TargetMode="External"/><Relationship Id="rId171" Type="http://schemas.openxmlformats.org/officeDocument/2006/relationships/hyperlink" Target="https://drive.google.com/file/d/1V7QVetrAYTSLxsYTdlHKEFezp3XwrRb7/view?usp=drive_link" TargetMode="External"/><Relationship Id="rId292" Type="http://schemas.openxmlformats.org/officeDocument/2006/relationships/hyperlink" Target="https://drive.google.com/file/d/1WCfnFVwL_-prfTc9p462Rr2Yd8TDPepB/view?usp=sharing" TargetMode="External"/><Relationship Id="rId170" Type="http://schemas.openxmlformats.org/officeDocument/2006/relationships/hyperlink" Target="http://lattes.cnpq.br/6886656870702250" TargetMode="External"/><Relationship Id="rId291" Type="http://schemas.openxmlformats.org/officeDocument/2006/relationships/hyperlink" Target="https://emec.mec.gov.br/emec/consulta-cadastro/detalhamento/d96957f455f6405d14c6542552b0f6eb/NDA5/93916316abe23148507bd4c260e4b878/NTU2NTM=" TargetMode="External"/><Relationship Id="rId290" Type="http://schemas.openxmlformats.org/officeDocument/2006/relationships/hyperlink" Target="https://drive.google.com/file/d/1lt1q_qtiHaVxbj9-H6e77uHkXPyfHNZx/view" TargetMode="External"/><Relationship Id="rId165" Type="http://schemas.openxmlformats.org/officeDocument/2006/relationships/hyperlink" Target="https://drive.google.com/file/d/14odrgX5MfXvcIot3s4izQyCKoSG2mHTr/view" TargetMode="External"/><Relationship Id="rId286" Type="http://schemas.openxmlformats.org/officeDocument/2006/relationships/hyperlink" Target="https://emec.mec.gov.br/emec/consulta-cadastro/detalhamento/d96957f455f6405d14c6542552b0f6eb/NDA5/93916316abe23148507bd4c260e4b878/MzE2MDc=" TargetMode="External"/><Relationship Id="rId164" Type="http://schemas.openxmlformats.org/officeDocument/2006/relationships/hyperlink" Target="http://lattes.cnpq.br/6962312823063593" TargetMode="External"/><Relationship Id="rId285" Type="http://schemas.openxmlformats.org/officeDocument/2006/relationships/hyperlink" Target="https://drive.google.com/drive/folders/1KPUBTAQruJkoqRcdwpKmgWAJRHpZPX74?usp=drive_link" TargetMode="External"/><Relationship Id="rId163" Type="http://schemas.openxmlformats.org/officeDocument/2006/relationships/hyperlink" Target="https://drive.google.com/drive/folders/1X1cnE2_h0rbilNpUNIXwW4oIkjgv9c0u?usp=sharing" TargetMode="External"/><Relationship Id="rId284" Type="http://schemas.openxmlformats.org/officeDocument/2006/relationships/hyperlink" Target="https://drive.google.com/drive/folders/1z1Qeq1Fq6sPVkglS0ak2W2IuJaMAawUG?usp=drive_link" TargetMode="External"/><Relationship Id="rId162" Type="http://schemas.openxmlformats.org/officeDocument/2006/relationships/hyperlink" Target="https://drive.google.com/file/d/1yCE7hL66Gk_hE_OyctCd5WRIoIDW-K-p/view" TargetMode="External"/><Relationship Id="rId283" Type="http://schemas.openxmlformats.org/officeDocument/2006/relationships/hyperlink" Target="https://drive.google.com/file/d/1GBiBwMdUMmjZ-Bq4V2rh4MRQTmoq304T/view?usp=drive_link" TargetMode="External"/><Relationship Id="rId169" Type="http://schemas.openxmlformats.org/officeDocument/2006/relationships/hyperlink" Target="https://drive.google.com/drive/folders/1Ab6VPgjTTZQPJrx0grRyOKjbXMq0i_17?usp=drive_link" TargetMode="External"/><Relationship Id="rId168" Type="http://schemas.openxmlformats.org/officeDocument/2006/relationships/hyperlink" Target="https://drive.google.com/drive/folders/1SuT1tAADd4x1MmB5oDsEczHVp5qaZlmg?usp=drive_link" TargetMode="External"/><Relationship Id="rId289" Type="http://schemas.openxmlformats.org/officeDocument/2006/relationships/hyperlink" Target="https://drive.google.com/drive/folders/1F_4GDDLmnoNTypWUEpfMcLeskDtiUlJT?usp=drive_link" TargetMode="External"/><Relationship Id="rId167" Type="http://schemas.openxmlformats.org/officeDocument/2006/relationships/hyperlink" Target="https://drive.google.com/drive/folders/1rh3Htxw-fKxgOeCb7kFwjBSz57m_I8_F?usp=drive_link" TargetMode="External"/><Relationship Id="rId288" Type="http://schemas.openxmlformats.org/officeDocument/2006/relationships/hyperlink" Target="https://emec.mec.gov.br/emec/consulta-cadastro/detalhamento/d96957f455f6405d14c6542552b0f6eb/NDA5/93916316abe23148507bd4c260e4b878/NTU1MDE=" TargetMode="External"/><Relationship Id="rId166" Type="http://schemas.openxmlformats.org/officeDocument/2006/relationships/hyperlink" Target="https://drive.google.com/file/d/13acUBzChpyHSNskKZYD2UOvAJaXqYyVg/view" TargetMode="External"/><Relationship Id="rId287" Type="http://schemas.openxmlformats.org/officeDocument/2006/relationships/hyperlink" Target="https://drive.google.com/drive/folders/1jn7WWDzSCA65nZSOSk6mxhPsVFnK0ueG?usp=drive_link" TargetMode="External"/><Relationship Id="rId161" Type="http://schemas.openxmlformats.org/officeDocument/2006/relationships/hyperlink" Target="http://lattes.cnpq.br/6962312823063593" TargetMode="External"/><Relationship Id="rId282" Type="http://schemas.openxmlformats.org/officeDocument/2006/relationships/hyperlink" Target="http://lattes.cnpq.br/5384617087984556" TargetMode="External"/><Relationship Id="rId160" Type="http://schemas.openxmlformats.org/officeDocument/2006/relationships/hyperlink" Target="https://drive.google.com/drive/folders/1JTZXQBtzIcCOxrJ_ywql7nwdtmvvzem0?usp=sharing" TargetMode="External"/><Relationship Id="rId281" Type="http://schemas.openxmlformats.org/officeDocument/2006/relationships/hyperlink" Target="https://drive.google.com/drive/folders/1KPUBTAQruJkoqRcdwpKmgWAJRHpZPX74?usp=drive_link" TargetMode="External"/><Relationship Id="rId280" Type="http://schemas.openxmlformats.org/officeDocument/2006/relationships/hyperlink" Target="https://drive.google.com/file/d/1KH4LcCzmKZ7cY0DCStCdFTnfY1DeA2dW/view?usp=drive_link" TargetMode="External"/><Relationship Id="rId159" Type="http://schemas.openxmlformats.org/officeDocument/2006/relationships/hyperlink" Target="https://drive.google.com/drive/folders/1jhFLg9R0DHyD09iymE1vlDeLQtMdsjEq?usp=drive_link" TargetMode="External"/><Relationship Id="rId154" Type="http://schemas.openxmlformats.org/officeDocument/2006/relationships/hyperlink" Target="https://drive.google.com/file/d/1eprUUuuDMLO9IytTRTFakCWqC6fye5Tx/view" TargetMode="External"/><Relationship Id="rId275" Type="http://schemas.openxmlformats.org/officeDocument/2006/relationships/hyperlink" Target="https://drive.google.com/file/d/188Tfa42UopZruN80BOV_Y8FFUVEnWoBH/view?usp=drive_link" TargetMode="External"/><Relationship Id="rId396" Type="http://schemas.openxmlformats.org/officeDocument/2006/relationships/hyperlink" Target="https://drive.google.com/drive/folders/1-6GHUz0E2XDH3wj_oHnBRqU6r8SGaS-H?usp=sharing" TargetMode="External"/><Relationship Id="rId153" Type="http://schemas.openxmlformats.org/officeDocument/2006/relationships/hyperlink" Target="https://drive.google.com/drive/folders/1-KOwLq-mjsQs5MI8tqL8BYBA8H7BtjG3?usp=drive_link" TargetMode="External"/><Relationship Id="rId274" Type="http://schemas.openxmlformats.org/officeDocument/2006/relationships/hyperlink" Target="http://lattes.cnpq.br/8655880498138115" TargetMode="External"/><Relationship Id="rId395" Type="http://schemas.openxmlformats.org/officeDocument/2006/relationships/hyperlink" Target="https://emec.mec.gov.br/emec/consulta-cadastro/detalhamento/d96957f455f6405d14c6542552b0f6eb/NDA5/93916316abe23148507bd4c260e4b878/MTczNDQz" TargetMode="External"/><Relationship Id="rId152" Type="http://schemas.openxmlformats.org/officeDocument/2006/relationships/hyperlink" Target="http://www.planalto.gov.br/ccivil_03/leis/l6932.htm" TargetMode="External"/><Relationship Id="rId273" Type="http://schemas.openxmlformats.org/officeDocument/2006/relationships/hyperlink" Target="https://drive.google.com/drive/folders/1jyMz5XuPjdS3J90OGB-MKo4esSrno9f0?usp=drive_link" TargetMode="External"/><Relationship Id="rId394" Type="http://schemas.openxmlformats.org/officeDocument/2006/relationships/hyperlink" Target="https://drive.google.com/drive/folders/1qe4TTG-int_hUaUmpjmDt9ObOWFHsJiH" TargetMode="External"/><Relationship Id="rId151" Type="http://schemas.openxmlformats.org/officeDocument/2006/relationships/hyperlink" Target="http://www.planalto.gov.br/ccivil_03/leis/l6932.htm" TargetMode="External"/><Relationship Id="rId272" Type="http://schemas.openxmlformats.org/officeDocument/2006/relationships/hyperlink" Target="https://emec.mec.gov.br/emec/consulta-cadastro/detalhamento/d96957f455f6405d14c6542552b0f6eb/NDA5/93916316abe23148507bd4c260e4b878/Mjg5OTE=" TargetMode="External"/><Relationship Id="rId393" Type="http://schemas.openxmlformats.org/officeDocument/2006/relationships/hyperlink" Target="http://lattes.cnpq.br/5804569982941990" TargetMode="External"/><Relationship Id="rId158" Type="http://schemas.openxmlformats.org/officeDocument/2006/relationships/hyperlink" Target="https://emec.mec.gov.br/emec/consulta-cadastro/detalhamento/d96957f455f6405d14c6542552b0f6eb/NDA5/93916316abe23148507bd4c260e4b878/MjkyMDM=" TargetMode="External"/><Relationship Id="rId279" Type="http://schemas.openxmlformats.org/officeDocument/2006/relationships/hyperlink" Target="https://drive.google.com/file/d/1LJm-stefVG1iV3gMQQotqolTc8GNNuLV/view?usp=drive_link" TargetMode="External"/><Relationship Id="rId157" Type="http://schemas.openxmlformats.org/officeDocument/2006/relationships/hyperlink" Target="https://drive.google.com/file/d/1FIEbSRbSrHJlV8XSb6Ax0iY3jFOE5I96/view" TargetMode="External"/><Relationship Id="rId278" Type="http://schemas.openxmlformats.org/officeDocument/2006/relationships/hyperlink" Target="http://lattes.cnpq.br/2689883591362147" TargetMode="External"/><Relationship Id="rId399" Type="http://schemas.openxmlformats.org/officeDocument/2006/relationships/hyperlink" Target="https://emec.mec.gov.br/emec/consulta-cadastro/detalhamento/d96957f455f6405d14c6542552b0f6eb/NDA5/93916316abe23148507bd4c260e4b878/Mjk3OTg=" TargetMode="External"/><Relationship Id="rId156" Type="http://schemas.openxmlformats.org/officeDocument/2006/relationships/hyperlink" Target="https://drive.google.com/drive/folders/19rvqrtFhKeZiW61Hzu_RD83b8glDOpFA?usp=drive_link" TargetMode="External"/><Relationship Id="rId277" Type="http://schemas.openxmlformats.org/officeDocument/2006/relationships/hyperlink" Target="https://drive.google.com/drive/folders/1yysDtb_mvfI5GMDY17AeNK_84xXxD6rF?usp=drive_link" TargetMode="External"/><Relationship Id="rId398" Type="http://schemas.openxmlformats.org/officeDocument/2006/relationships/hyperlink" Target="https://drive.google.com/file/d/1Ef5LwoS2ID5adnC5IAjiBpS5z_bYyP3B/view?usp=drive_link" TargetMode="External"/><Relationship Id="rId155" Type="http://schemas.openxmlformats.org/officeDocument/2006/relationships/hyperlink" Target="https://emec.mec.gov.br/emec/consulta-cadastro/detalhamento/d96957f455f6405d14c6542552b0f6eb/NDA5/93916316abe23148507bd4c260e4b878/MjkxNzM=" TargetMode="External"/><Relationship Id="rId276" Type="http://schemas.openxmlformats.org/officeDocument/2006/relationships/hyperlink" Target="https://emec.mec.gov.br/emec/consulta-cadastro/detalhamento/d96957f455f6405d14c6542552b0f6eb/NDA5/93916316abe23148507bd4c260e4b878/ODU0ODI=" TargetMode="External"/><Relationship Id="rId397" Type="http://schemas.openxmlformats.org/officeDocument/2006/relationships/hyperlink" Target="http://lattes.cnpq.br/1214050781850750" TargetMode="External"/><Relationship Id="rId40" Type="http://schemas.openxmlformats.org/officeDocument/2006/relationships/hyperlink" Target="https://drive.google.com/file/d/18r_NMJfM6v2IRfKCWYKfrhwHDxtvgVte/view" TargetMode="External"/><Relationship Id="rId42" Type="http://schemas.openxmlformats.org/officeDocument/2006/relationships/hyperlink" Target="https://emec.mec.gov.br/emec/consulta-cadastro/detalhamento/d96957f455f6405d14c6542552b0f6eb/NDA5/93916316abe23148507bd4c260e4b878/MTM4NDk1" TargetMode="External"/><Relationship Id="rId41" Type="http://schemas.openxmlformats.org/officeDocument/2006/relationships/hyperlink" Target="https://drive.google.com/file/d/18r_NMJfM6v2IRfKCWYKfrhwHDxtvgVte/view" TargetMode="External"/><Relationship Id="rId44" Type="http://schemas.openxmlformats.org/officeDocument/2006/relationships/hyperlink" Target="http://lattes.cnpq.br/1255644458061968;" TargetMode="External"/><Relationship Id="rId43" Type="http://schemas.openxmlformats.org/officeDocument/2006/relationships/hyperlink" Target="https://drive.google.com/drive/folders/1WC_N-DY_h8QWNKC0PRerUaSC4-fHow8p?usp=sharing" TargetMode="External"/><Relationship Id="rId46" Type="http://schemas.openxmlformats.org/officeDocument/2006/relationships/hyperlink" Target="https://drive.google.com/file/d/1iCjSC0TiuevQ_nQHdKIy8rCz2jQ_Xy0E/view?usp=drive_link" TargetMode="External"/><Relationship Id="rId45" Type="http://schemas.openxmlformats.org/officeDocument/2006/relationships/hyperlink" Target="https://drive.google.com/file/d/1B4XKs_6kh9pt_iN2AulSJRMqCHceUWmy/view" TargetMode="External"/><Relationship Id="rId48" Type="http://schemas.openxmlformats.org/officeDocument/2006/relationships/hyperlink" Target="https://drive.google.com/drive/folders/12mo0A3d6KtxBVQRKy0DsJSlK2u4dtS4f?usp=sharing" TargetMode="External"/><Relationship Id="rId47" Type="http://schemas.openxmlformats.org/officeDocument/2006/relationships/hyperlink" Target="https://emec.mec.gov.br/emec/consulta-cadastro/detalhamento/d96957f455f6405d14c6542552b0f6eb/NDA5/93916316abe23148507bd4c260e4b878/NTU3ODA=" TargetMode="External"/><Relationship Id="rId49" Type="http://schemas.openxmlformats.org/officeDocument/2006/relationships/hyperlink" Target="http://lattes.cnpq.br/4496463696654444" TargetMode="External"/><Relationship Id="rId31" Type="http://schemas.openxmlformats.org/officeDocument/2006/relationships/hyperlink" Target="https://emec.mec.gov.br/emec/consulta-cadastro/detalhamento/d96957f455f6405d14c6542552b0f6eb/NDA5/93916316abe23148507bd4c260e4b878/NTU3ODE=" TargetMode="External"/><Relationship Id="rId30" Type="http://schemas.openxmlformats.org/officeDocument/2006/relationships/hyperlink" Target="https://drive.google.com/file/d/1iSSkfULaft5EDuQ4-cRwExbheCGOHAN2/view" TargetMode="External"/><Relationship Id="rId33" Type="http://schemas.openxmlformats.org/officeDocument/2006/relationships/hyperlink" Target="http://www.upe.br/esef/index.php?option=com_content&amp;view=article&amp;id=131&amp;Itemid=160" TargetMode="External"/><Relationship Id="rId32" Type="http://schemas.openxmlformats.org/officeDocument/2006/relationships/hyperlink" Target="http://www.upe.br/esef/index.php?option=com_content&amp;view=article&amp;id=131&amp;Itemid=160" TargetMode="External"/><Relationship Id="rId35" Type="http://schemas.openxmlformats.org/officeDocument/2006/relationships/hyperlink" Target="https://drive.google.com/file/d/1ArK21CTgls_9QZbFqb5WiJfeyKhCY9VZ/view" TargetMode="External"/><Relationship Id="rId34" Type="http://schemas.openxmlformats.org/officeDocument/2006/relationships/hyperlink" Target="https://drive.google.com/drive/folders/1X5XANvVj-A9qrmkf-IgTCBu1YNl6zRrp?usp=sharing" TargetMode="External"/><Relationship Id="rId37" Type="http://schemas.openxmlformats.org/officeDocument/2006/relationships/hyperlink" Target="https://emec.mec.gov.br/emec/consulta-cadastro/detalhamento/d96957f455f6405d14c6542552b0f6eb/NDA5/93916316abe23148507bd4c260e4b878/MTY2NTMz" TargetMode="External"/><Relationship Id="rId36" Type="http://schemas.openxmlformats.org/officeDocument/2006/relationships/hyperlink" Target="https://drive.google.com/file/d/1Ra1EfAGv6A8ODY1jcgMB0yxbq4nmAEeO/view" TargetMode="External"/><Relationship Id="rId39" Type="http://schemas.openxmlformats.org/officeDocument/2006/relationships/hyperlink" Target="http://lattes.cnpq.br/4260058179425238" TargetMode="External"/><Relationship Id="rId38" Type="http://schemas.openxmlformats.org/officeDocument/2006/relationships/hyperlink" Target="https://drive.google.com/drive/folders/1Zju6lcIdvbbc4XXEJLoWlPHz7_Umor8F?usp=sharing" TargetMode="External"/><Relationship Id="rId20" Type="http://schemas.openxmlformats.org/officeDocument/2006/relationships/hyperlink" Target="https://caruaru.upe.br/blog/courses/mba-em-gestao-da-producao-e-qualidade/" TargetMode="External"/><Relationship Id="rId22" Type="http://schemas.openxmlformats.org/officeDocument/2006/relationships/hyperlink" Target="https://drive.google.com/file/d/11ZiW7I5P5n6mMTbJC5Q4PrzDdvhGqN2P/view?usp=drive_link" TargetMode="External"/><Relationship Id="rId21" Type="http://schemas.openxmlformats.org/officeDocument/2006/relationships/hyperlink" Target="https://caruaru.upe.br/blog/courses/mba-em-gestao-da-producao-e-qualidade/" TargetMode="External"/><Relationship Id="rId24" Type="http://schemas.openxmlformats.org/officeDocument/2006/relationships/hyperlink" Target="https://caruaru.upe.br/blog/courses/mba-em-gestao-da-producao-e-qualidade/" TargetMode="External"/><Relationship Id="rId23" Type="http://schemas.openxmlformats.org/officeDocument/2006/relationships/hyperlink" Target="https://caruaru.upe.br/blog/courses/mba-em-gestao-da-producao-e-qualidade/" TargetMode="External"/><Relationship Id="rId409" Type="http://schemas.openxmlformats.org/officeDocument/2006/relationships/hyperlink" Target="http://lattes.cnpq.br/5804569982941990" TargetMode="External"/><Relationship Id="rId404" Type="http://schemas.openxmlformats.org/officeDocument/2006/relationships/hyperlink" Target="https://drive.google.com/drive/folders/1Oeoda8p3IZ-ar3p8O1wzUdBB2vX5l4LS?usp=drive_link" TargetMode="External"/><Relationship Id="rId403" Type="http://schemas.openxmlformats.org/officeDocument/2006/relationships/hyperlink" Target="https://drive.google.com/file/d/14RWjpRLSWiEYXAhnafIeRaqk4VTpKYi0/view?usp=drive_link" TargetMode="External"/><Relationship Id="rId402" Type="http://schemas.openxmlformats.org/officeDocument/2006/relationships/hyperlink" Target="http://lattes.cnpq.br/5175924818753829" TargetMode="External"/><Relationship Id="rId401" Type="http://schemas.openxmlformats.org/officeDocument/2006/relationships/hyperlink" Target="https://drive.google.com/drive/folders/15wSDCGlnUK69sa1gtp4oaaN07-5_N8y9?usp=drive_link" TargetMode="External"/><Relationship Id="rId408" Type="http://schemas.openxmlformats.org/officeDocument/2006/relationships/hyperlink" Target="https://drive.google.com/drive/folders/13fLyik50d8hNl_Dl9OVVmpmr716rM6wa?usp=sharing" TargetMode="External"/><Relationship Id="rId407" Type="http://schemas.openxmlformats.org/officeDocument/2006/relationships/hyperlink" Target="https://emec.mec.gov.br/emec/consulta-cadastro/detalhamento/d96957f455f6405d14c6542552b0f6eb/NDA5/93916316abe23148507bd4c260e4b878/MTM0NDg4" TargetMode="External"/><Relationship Id="rId406" Type="http://schemas.openxmlformats.org/officeDocument/2006/relationships/hyperlink" Target="https://drive.google.com/file/d/1ZM0jDgGzM01eoBM5EoHtxu4XVCbjVmXF/view?usp=drive_link" TargetMode="External"/><Relationship Id="rId405" Type="http://schemas.openxmlformats.org/officeDocument/2006/relationships/hyperlink" Target="http://lattes.cnpq.br/0925195763491278" TargetMode="External"/><Relationship Id="rId26" Type="http://schemas.openxmlformats.org/officeDocument/2006/relationships/hyperlink" Target="https://caruaru.upe.br/blog/courses/mba-em-gestao-da-producao-e-qualidade/" TargetMode="External"/><Relationship Id="rId25" Type="http://schemas.openxmlformats.org/officeDocument/2006/relationships/hyperlink" Target="https://drive.google.com/file/d/1YS67SxggTztpwZSQrIeXMhLGuKucvxFz/view?usp=sharing" TargetMode="External"/><Relationship Id="rId28" Type="http://schemas.openxmlformats.org/officeDocument/2006/relationships/hyperlink" Target="https://drive.google.com/drive/folders/1568lF0eBIR0FdJ6dVZ-a07J3WM0xZ_-Z?usp=sharing" TargetMode="External"/><Relationship Id="rId27" Type="http://schemas.openxmlformats.org/officeDocument/2006/relationships/hyperlink" Target="https://caruaru.upe.br/blog/courses/mba-em-gestao-da-producao-e-qualidade/" TargetMode="External"/><Relationship Id="rId400" Type="http://schemas.openxmlformats.org/officeDocument/2006/relationships/hyperlink" Target="http://posgraduacao.poli.br/especializacoes/" TargetMode="External"/><Relationship Id="rId29" Type="http://schemas.openxmlformats.org/officeDocument/2006/relationships/hyperlink" Target="http://lattes.cnpq.br/5490469587516115" TargetMode="External"/><Relationship Id="rId11" Type="http://schemas.openxmlformats.org/officeDocument/2006/relationships/hyperlink" Target="http://www.upe.br/garanhuns/edital-especializacao-arcoverde-odonto/" TargetMode="External"/><Relationship Id="rId10" Type="http://schemas.openxmlformats.org/officeDocument/2006/relationships/hyperlink" Target="https://emec.mec.gov.br/emec/consulta-cadastro/detalhamento/d96957f455f6405d14c6542552b0f6eb/NDA5/93916316abe23148507bd4c260e4b878/MjAxODkw" TargetMode="External"/><Relationship Id="rId13" Type="http://schemas.openxmlformats.org/officeDocument/2006/relationships/hyperlink" Target="https://drive.google.com/drive/folders/1s07mBetD4r5lO0e9vmXL-oIcQlI2kpWz?usp=sharing" TargetMode="External"/><Relationship Id="rId12" Type="http://schemas.openxmlformats.org/officeDocument/2006/relationships/hyperlink" Target="http://www.upe.br/garanhuns/edital-especializacao-arcoverde-odonto/" TargetMode="External"/><Relationship Id="rId15" Type="http://schemas.openxmlformats.org/officeDocument/2006/relationships/hyperlink" Target="https://drive.google.com/file/d/1Jh9AqdVK5RK04mXCyovQhadlcneze7dm/view" TargetMode="External"/><Relationship Id="rId14" Type="http://schemas.openxmlformats.org/officeDocument/2006/relationships/hyperlink" Target="http://lattes.cnpq.br/6050306499643993" TargetMode="External"/><Relationship Id="rId17" Type="http://schemas.openxmlformats.org/officeDocument/2006/relationships/hyperlink" Target="https://caruaru.upe.br/blog/courses/mba-em-gestao-da-producao-e-qualidade/" TargetMode="External"/><Relationship Id="rId16" Type="http://schemas.openxmlformats.org/officeDocument/2006/relationships/hyperlink" Target="https://emec.mec.gov.br/emec/consulta-cadastro/detalhamento/d96957f455f6405d14c6542552b0f6eb/NDA5/93916316abe23148507bd4c260e4b878/MTM0NDg2" TargetMode="External"/><Relationship Id="rId19" Type="http://schemas.openxmlformats.org/officeDocument/2006/relationships/hyperlink" Target="https://drive.google.com/file/d/1jzYKPPsqO6sM4v1suLEj7MKmq9NC_Am7/view?usp=drive_link" TargetMode="External"/><Relationship Id="rId18" Type="http://schemas.openxmlformats.org/officeDocument/2006/relationships/hyperlink" Target="https://caruaru.upe.br/blog/courses/mba-em-gestao-da-producao-e-qualidade/" TargetMode="External"/><Relationship Id="rId84" Type="http://schemas.openxmlformats.org/officeDocument/2006/relationships/hyperlink" Target="http://lattes.cnpq.br/1999800819046051" TargetMode="External"/><Relationship Id="rId83" Type="http://schemas.openxmlformats.org/officeDocument/2006/relationships/hyperlink" Target="https://drive.google.com/drive/folders/15v0MZIHwZmMos2tXYX7ErmI1GhDT9etS?usp=sharing" TargetMode="External"/><Relationship Id="rId86" Type="http://schemas.openxmlformats.org/officeDocument/2006/relationships/hyperlink" Target="https://emec.mec.gov.br/emec/consulta-cadastro/detalhamento/d96957f455f6405d14c6542552b0f6eb/NDA5/93916316abe23148507bd4c260e4b878/Mjg2NzE=" TargetMode="External"/><Relationship Id="rId85" Type="http://schemas.openxmlformats.org/officeDocument/2006/relationships/hyperlink" Target="https://drive.google.com/file/d/1YCBV1oLwxNC1C_Yh0P0scqCEWZiM4yTu/view" TargetMode="External"/><Relationship Id="rId88" Type="http://schemas.openxmlformats.org/officeDocument/2006/relationships/hyperlink" Target="https://drive.google.com/file/d/1voBtC5HshNyecA-ULciEzWimayMQ-nTy/view" TargetMode="External"/><Relationship Id="rId87" Type="http://schemas.openxmlformats.org/officeDocument/2006/relationships/hyperlink" Target="https://drive.google.com/drive/folders/1qrBkN0yS91i0Va8LkngW98ldiSp5onE5?usp=sharing" TargetMode="External"/><Relationship Id="rId89" Type="http://schemas.openxmlformats.org/officeDocument/2006/relationships/hyperlink" Target="https://drive.google.com/drive/folders/1GltRqaOEMx8VGLnIKu2sGVCihdE0Sgq2?usp=sharing" TargetMode="External"/><Relationship Id="rId80" Type="http://schemas.openxmlformats.org/officeDocument/2006/relationships/hyperlink" Target="https://emec.mec.gov.br/emec/consulta-cadastro/detalhamento/d96957f455f6405d14c6542552b0f6eb/NDA5/93916316abe23148507bd4c260e4b878/Mjg3MTM=" TargetMode="External"/><Relationship Id="rId82" Type="http://schemas.openxmlformats.org/officeDocument/2006/relationships/hyperlink" Target="https://drive.google.com/file/d/1bXwHJEsazkokxk0pNmKudoldQvGcM7HY/view" TargetMode="External"/><Relationship Id="rId81" Type="http://schemas.openxmlformats.org/officeDocument/2006/relationships/hyperlink" Target="https://drive.google.com/drive/folders/1pJUHvk3NRiW2ckgB3PWvVPO9H2zH-8sA?usp=sharing" TargetMode="External"/><Relationship Id="rId73" Type="http://schemas.openxmlformats.org/officeDocument/2006/relationships/hyperlink" Target="http://lattes.cnpq.br/9036538031307341" TargetMode="External"/><Relationship Id="rId72" Type="http://schemas.openxmlformats.org/officeDocument/2006/relationships/hyperlink" Target="https://drive.google.com/drive/folders/1QEvBa0fc3qx_VOXugVM8dE3PyBBl6eI1?usp=sharing" TargetMode="External"/><Relationship Id="rId75" Type="http://schemas.openxmlformats.org/officeDocument/2006/relationships/hyperlink" Target="https://drive.google.com/file/d/1mwuFpgC0uYPMyw9EHBb08D-rfqnOLdhM/view" TargetMode="External"/><Relationship Id="rId74" Type="http://schemas.openxmlformats.org/officeDocument/2006/relationships/hyperlink" Target="https://drive.google.com/file/d/1HtsXdNca4K47IA_PW-JThXOXgknHIPoz/view" TargetMode="External"/><Relationship Id="rId77" Type="http://schemas.openxmlformats.org/officeDocument/2006/relationships/hyperlink" Target="https://drive.google.com/drive/folders/16aACnjXQfGwSwgc8ldJiF2ibUjX5AY-6?usp=sharing" TargetMode="External"/><Relationship Id="rId76" Type="http://schemas.openxmlformats.org/officeDocument/2006/relationships/hyperlink" Target="https://emec.mec.gov.br/emec/consulta-cadastro/detalhamento/d96957f455f6405d14c6542552b0f6eb/NDA5/93916316abe23148507bd4c260e4b878/Mjg4MDY=" TargetMode="External"/><Relationship Id="rId79" Type="http://schemas.openxmlformats.org/officeDocument/2006/relationships/hyperlink" Target="https://drive.google.com/file/d/1j-ZTq_Cdkr6XmfK-kV3VX9cczi3nPRBM/view" TargetMode="External"/><Relationship Id="rId78" Type="http://schemas.openxmlformats.org/officeDocument/2006/relationships/hyperlink" Target="http://lattes.cnpq.br/3491558231307508" TargetMode="External"/><Relationship Id="rId71" Type="http://schemas.openxmlformats.org/officeDocument/2006/relationships/hyperlink" Target="https://drive.google.com/file/d/1yCSPsOANP6cnr0WdH-Wqzpf5TE2iXytt/view" TargetMode="External"/><Relationship Id="rId70" Type="http://schemas.openxmlformats.org/officeDocument/2006/relationships/hyperlink" Target="http://lattes.cnpq.br/7169699250722995" TargetMode="External"/><Relationship Id="rId62" Type="http://schemas.openxmlformats.org/officeDocument/2006/relationships/hyperlink" Target="https://drive.google.com/drive/folders/1_Om4MnwRv2iKjT_Zbq_4QpmuFzQZAX3w?usp=sharing" TargetMode="External"/><Relationship Id="rId61" Type="http://schemas.openxmlformats.org/officeDocument/2006/relationships/hyperlink" Target="https://emec.mec.gov.br/emec/consulta-cadastro/detalhamento/d96957f455f6405d14c6542552b0f6eb/NDA5/93916316abe23148507bd4c260e4b878/MjAxOTQz" TargetMode="External"/><Relationship Id="rId64" Type="http://schemas.openxmlformats.org/officeDocument/2006/relationships/hyperlink" Target="https://drive.google.com/file/d/1ZX9W-qZvLZ4Uiwjn6LPo3zb9M8zZVMzi/view" TargetMode="External"/><Relationship Id="rId63" Type="http://schemas.openxmlformats.org/officeDocument/2006/relationships/hyperlink" Target="http://lattes.cnpq.br/3491558231307508" TargetMode="External"/><Relationship Id="rId66" Type="http://schemas.openxmlformats.org/officeDocument/2006/relationships/hyperlink" Target="https://drive.google.com/drive/folders/1jP_-LCI4R5ynSopLbvp_IxS6Cpj9Dtcu?usp=sharing" TargetMode="External"/><Relationship Id="rId65" Type="http://schemas.openxmlformats.org/officeDocument/2006/relationships/hyperlink" Target="https://www.fcapupe.com.br/pos-graduacao/" TargetMode="External"/><Relationship Id="rId68" Type="http://schemas.openxmlformats.org/officeDocument/2006/relationships/hyperlink" Target="https://drive.google.com/file/d/1OZelT1O6wa7pEfosI9pq0L-RF96M9bcQ/view" TargetMode="External"/><Relationship Id="rId67" Type="http://schemas.openxmlformats.org/officeDocument/2006/relationships/hyperlink" Target="http://lattes.cnpq.br/6989029040773453" TargetMode="External"/><Relationship Id="rId60" Type="http://schemas.openxmlformats.org/officeDocument/2006/relationships/hyperlink" Target="http://lattes.cnpq.br/1255644458061968;" TargetMode="External"/><Relationship Id="rId69" Type="http://schemas.openxmlformats.org/officeDocument/2006/relationships/hyperlink" Target="https://drive.google.com/drive/folders/1XBRxxTvMi8JGOUzPurKnke8FPS-grvek?usp=sharing" TargetMode="External"/><Relationship Id="rId51" Type="http://schemas.openxmlformats.org/officeDocument/2006/relationships/hyperlink" Target="https://drive.google.com/drive/folders/1iqSKQmwS18cFoF9L-219Q2dbPMP47kY_?usp=sharing" TargetMode="External"/><Relationship Id="rId50" Type="http://schemas.openxmlformats.org/officeDocument/2006/relationships/hyperlink" Target="https://drive.google.com/file/d/1Hfyo_BzNPnZLgmNv5T14XkzScArhAbVD/view" TargetMode="External"/><Relationship Id="rId53" Type="http://schemas.openxmlformats.org/officeDocument/2006/relationships/hyperlink" Target="https://drive.google.com/file/d/1SVDNwtoBFapVG8Z1DFtkC2ec2yPvgFZ5/view?usp=sharing" TargetMode="External"/><Relationship Id="rId52" Type="http://schemas.openxmlformats.org/officeDocument/2006/relationships/hyperlink" Target="http://lattes.cnpq.br/5490469587516115" TargetMode="External"/><Relationship Id="rId55" Type="http://schemas.openxmlformats.org/officeDocument/2006/relationships/hyperlink" Target="https://drive.google.com/drive/folders/1I7d1h4dgDIFYNiqQODOxifL8Wpkf2fnY?usp=sharing" TargetMode="External"/><Relationship Id="rId54" Type="http://schemas.openxmlformats.org/officeDocument/2006/relationships/hyperlink" Target="https://emec.mec.gov.br/emec/consulta-cadastro/detalhamento/d96957f455f6405d14c6542552b0f6eb/NDA5/93916316abe23148507bd4c260e4b878/MTM4NDg4" TargetMode="External"/><Relationship Id="rId57" Type="http://schemas.openxmlformats.org/officeDocument/2006/relationships/hyperlink" Target="https://drive.google.com/file/d/1N9a4sPq069OY84mPHg1uQIzBFM9BSSsN/view" TargetMode="External"/><Relationship Id="rId56" Type="http://schemas.openxmlformats.org/officeDocument/2006/relationships/hyperlink" Target="http://lattes.cnpq.br/4011800687498916" TargetMode="External"/><Relationship Id="rId59" Type="http://schemas.openxmlformats.org/officeDocument/2006/relationships/hyperlink" Target="https://drive.google.com/drive/folders/1RhGMA9gOaU6DpaxX0wz5Wel27yjWnbB2?usp=sharing" TargetMode="External"/><Relationship Id="rId58" Type="http://schemas.openxmlformats.org/officeDocument/2006/relationships/hyperlink" Target="https://emec.mec.gov.br/emec/consulta-cadastro/detalhamento/d96957f455f6405d14c6542552b0f6eb/NDA5/93916316abe23148507bd4c260e4b878/MTY2NTMy" TargetMode="External"/><Relationship Id="rId107" Type="http://schemas.openxmlformats.org/officeDocument/2006/relationships/hyperlink" Target="https://drive.google.com/file/d/1OSsEqCfFcOlIciZHNn9_n8iZDqk4TMjZ/view" TargetMode="External"/><Relationship Id="rId228" Type="http://schemas.openxmlformats.org/officeDocument/2006/relationships/hyperlink" Target="https://emec.mec.gov.br/emec/consulta-cadastro/detalhamento/d96957f455f6405d14c6542552b0f6eb/NDA5/93916316abe23148507bd4c260e4b878/MTY2NTMw" TargetMode="External"/><Relationship Id="rId349" Type="http://schemas.openxmlformats.org/officeDocument/2006/relationships/hyperlink" Target="https://drive.google.com/file/d/1uW3zi_ZSfKPhAiKuDUdwOspIB20JCgiV/view?usp=drive_link" TargetMode="External"/><Relationship Id="rId106" Type="http://schemas.openxmlformats.org/officeDocument/2006/relationships/hyperlink" Target="https://drive.google.com/drive/folders/1ZedC_S9scFcAE4mPwCcLeYiWVjOswUd3?usp=sharing" TargetMode="External"/><Relationship Id="rId227" Type="http://schemas.openxmlformats.org/officeDocument/2006/relationships/hyperlink" Target="https://drive.google.com/file/d/1c9CiNvCr4XmQ_TWHMWDk5iRe7h8aDVMz/view?usp=drive_link" TargetMode="External"/><Relationship Id="rId348" Type="http://schemas.openxmlformats.org/officeDocument/2006/relationships/hyperlink" Target="http://lattes.cnpq.br/3476550607994320" TargetMode="External"/><Relationship Id="rId105" Type="http://schemas.openxmlformats.org/officeDocument/2006/relationships/hyperlink" Target="https://drive.google.com/file/d/1OxS1j2YVk9RY3Vvi9utgmsF_CEO3GcJr/view" TargetMode="External"/><Relationship Id="rId226" Type="http://schemas.openxmlformats.org/officeDocument/2006/relationships/hyperlink" Target="http://lattes.cnpq.br/5076393385826777" TargetMode="External"/><Relationship Id="rId347" Type="http://schemas.openxmlformats.org/officeDocument/2006/relationships/hyperlink" Target="mailto:victor.neves@upe.br" TargetMode="External"/><Relationship Id="rId104" Type="http://schemas.openxmlformats.org/officeDocument/2006/relationships/hyperlink" Target="https://drive.google.com/file/d/1eGVzGp3gPT4I3r252swBvRcpdtw5-ZIZ/view" TargetMode="External"/><Relationship Id="rId225" Type="http://schemas.openxmlformats.org/officeDocument/2006/relationships/hyperlink" Target="https://drive.google.com/drive/folders/18p9MQLHnXHP1fWDTUFHR3g0VyygYaAvn?usp=drive_link" TargetMode="External"/><Relationship Id="rId346" Type="http://schemas.openxmlformats.org/officeDocument/2006/relationships/hyperlink" Target="https://drive.google.com/drive/folders/1YswMr-bMBiMFAtw2VNOTWlwFZhrSCOeb?usp=drive_link" TargetMode="External"/><Relationship Id="rId109" Type="http://schemas.openxmlformats.org/officeDocument/2006/relationships/hyperlink" Target="https://drive.google.com/file/d/1UULnVZ3Yx1vSIHC1kdGzebMqv3Chl5A4/view" TargetMode="External"/><Relationship Id="rId108" Type="http://schemas.openxmlformats.org/officeDocument/2006/relationships/hyperlink" Target="https://drive.google.com/drive/folders/1kANcr_qzCExm5iz1_u2s043xdzS_pkJc?usp=drive_link" TargetMode="External"/><Relationship Id="rId229" Type="http://schemas.openxmlformats.org/officeDocument/2006/relationships/hyperlink" Target="https://drive.google.com/drive/folders/16ksHykD1ckoCa2H6KkeNtzokZarQOrE8?usp=drive_link" TargetMode="External"/><Relationship Id="rId220" Type="http://schemas.openxmlformats.org/officeDocument/2006/relationships/hyperlink" Target="https://drive.google.com/drive/folders/10iyYi8Duak9ZXEXjVd1hHm2ccD-CQv-p?usp=drive_link" TargetMode="External"/><Relationship Id="rId341" Type="http://schemas.openxmlformats.org/officeDocument/2006/relationships/hyperlink" Target="http://www.upe.br/petrolina/pos-graduacao/cursos/" TargetMode="External"/><Relationship Id="rId340" Type="http://schemas.openxmlformats.org/officeDocument/2006/relationships/hyperlink" Target="mailto:edivaldo.junior@upe.br" TargetMode="External"/><Relationship Id="rId103" Type="http://schemas.openxmlformats.org/officeDocument/2006/relationships/hyperlink" Target="http://lattes.cnpq.br/3491163418088431" TargetMode="External"/><Relationship Id="rId224" Type="http://schemas.openxmlformats.org/officeDocument/2006/relationships/hyperlink" Target="https://emec.mec.gov.br/emec/consulta-cadastro/detalhamento/d96957f455f6405d14c6542552b0f6eb/NDA5/93916316abe23148507bd4c260e4b878/Mjk4MjI=" TargetMode="External"/><Relationship Id="rId345" Type="http://schemas.openxmlformats.org/officeDocument/2006/relationships/hyperlink" Target="mailto:cadu_ropi@ig.com.br" TargetMode="External"/><Relationship Id="rId102" Type="http://schemas.openxmlformats.org/officeDocument/2006/relationships/hyperlink" Target="https://drive.google.com/drive/folders/1CV9WIA8IJa77mTOMtlTJZLJyc2k6v1RK?usp=sharing" TargetMode="External"/><Relationship Id="rId223" Type="http://schemas.openxmlformats.org/officeDocument/2006/relationships/hyperlink" Target="https://drive.google.com/drive/folders/1jsWMDJoqjIqTqcGUghmdrtonJDdReoci?usp=drive_link" TargetMode="External"/><Relationship Id="rId344" Type="http://schemas.openxmlformats.org/officeDocument/2006/relationships/hyperlink" Target="https://drive.google.com/file/d/1yldOAHwXXozaiXK4wqGkZMSgAGygRZHF/view?usp=drive_link" TargetMode="External"/><Relationship Id="rId101" Type="http://schemas.openxmlformats.org/officeDocument/2006/relationships/hyperlink" Target="https://drive.google.com/file/d/1tfmDkwZ6Cj0PP4J9G8BjCU4YWD2C80N2/view" TargetMode="External"/><Relationship Id="rId222" Type="http://schemas.openxmlformats.org/officeDocument/2006/relationships/hyperlink" Target="https://drive.google.com/drive/folders/10iyYi8Duak9ZXEXjVd1hHm2ccD-CQv-p?usp=drive_link" TargetMode="External"/><Relationship Id="rId343" Type="http://schemas.openxmlformats.org/officeDocument/2006/relationships/hyperlink" Target="http://lattes.cnpq.br/4578456189518357" TargetMode="External"/><Relationship Id="rId100" Type="http://schemas.openxmlformats.org/officeDocument/2006/relationships/hyperlink" Target="http://lattes.cnpq.br/5746875992368625" TargetMode="External"/><Relationship Id="rId221" Type="http://schemas.openxmlformats.org/officeDocument/2006/relationships/hyperlink" Target="http://upe.br/fop/lato-sensu/" TargetMode="External"/><Relationship Id="rId342" Type="http://schemas.openxmlformats.org/officeDocument/2006/relationships/hyperlink" Target="https://drive.google.com/drive/folders/1BPp_xaVgWW18-byPKOQqKcsTlsO0Rp0E?usp=drive_link" TargetMode="External"/><Relationship Id="rId217" Type="http://schemas.openxmlformats.org/officeDocument/2006/relationships/hyperlink" Target="http://lattes.cnpq.br/9337159370801893" TargetMode="External"/><Relationship Id="rId338" Type="http://schemas.openxmlformats.org/officeDocument/2006/relationships/hyperlink" Target="https://drive.google.com/file/d/1LosbvlhBu76IIgaXbDiRpvt7YVDNN47w/view?usp=sharing" TargetMode="External"/><Relationship Id="rId216" Type="http://schemas.openxmlformats.org/officeDocument/2006/relationships/hyperlink" Target="https://drive.google.com/drive/folders/1smR3uAjC5IzEWV2OJz35CZCKCVt9pl2o?usp=drive_link" TargetMode="External"/><Relationship Id="rId337" Type="http://schemas.openxmlformats.org/officeDocument/2006/relationships/hyperlink" Target="https://drive.google.com/file/d/1650RlqvifPTiRR3Xjn0JQ2FH8IEL01v5/view?usp=sharing" TargetMode="External"/><Relationship Id="rId215" Type="http://schemas.openxmlformats.org/officeDocument/2006/relationships/hyperlink" Target="https://drive.google.com/drive/folders/1_YeTu6RdM9jK0MkY7gQ2IxT2gBXirtfP?usp=drive_link" TargetMode="External"/><Relationship Id="rId336" Type="http://schemas.openxmlformats.org/officeDocument/2006/relationships/hyperlink" Target="https://drive.google.com/file/d/1LosbvlhBu76IIgaXbDiRpvt7YVDNN47w/view?usp=sharing" TargetMode="External"/><Relationship Id="rId214" Type="http://schemas.openxmlformats.org/officeDocument/2006/relationships/hyperlink" Target="https://drive.google.com/drive/folders/1tE82ewe4MSuW5bzFasjfEpIb5gYmcjTc?usp=drive_link" TargetMode="External"/><Relationship Id="rId335" Type="http://schemas.openxmlformats.org/officeDocument/2006/relationships/hyperlink" Target="https://drive.google.com/file/d/1BHOsaHG53zZlDj8h5DInXWHwCFb2NVdY/view?usp=sharing" TargetMode="External"/><Relationship Id="rId219" Type="http://schemas.openxmlformats.org/officeDocument/2006/relationships/hyperlink" Target="https://drive.google.com/file/d/1qAC_MyN2lkrUVwtOcX-kYn6vsEn0SN8g/view?usp=sharing" TargetMode="External"/><Relationship Id="rId218" Type="http://schemas.openxmlformats.org/officeDocument/2006/relationships/hyperlink" Target="https://drive.google.com/file/d/1jrdIFkWGZLZxcfTd-ukFzROKqkc9EYjf/view?usp=drive_link" TargetMode="External"/><Relationship Id="rId339" Type="http://schemas.openxmlformats.org/officeDocument/2006/relationships/hyperlink" Target="https://drive.google.com/drive/folders/1-hCFGsRwaBCRkFE7GUWfCfZ1I4ZX-9CF?usp=drive_link" TargetMode="External"/><Relationship Id="rId330" Type="http://schemas.openxmlformats.org/officeDocument/2006/relationships/hyperlink" Target="https://drive.google.com/file/d/1bTk88PB7v4K8GH9RzSNobkXiTAmCfYL5/view" TargetMode="External"/><Relationship Id="rId213" Type="http://schemas.openxmlformats.org/officeDocument/2006/relationships/hyperlink" Target="https://drive.google.com/drive/folders/1rD1VgY8jntZdgR3xJVD2rZIO1YagwsH3?usp=drive_link" TargetMode="External"/><Relationship Id="rId334" Type="http://schemas.openxmlformats.org/officeDocument/2006/relationships/hyperlink" Target="https://drive.google.com/file/d/1al0AsafmAUjuQciO3nKZj_H-XQ80CIDe/view" TargetMode="External"/><Relationship Id="rId212" Type="http://schemas.openxmlformats.org/officeDocument/2006/relationships/hyperlink" Target="https://drive.google.com/drive/folders/1L_Yiv6InTV1XOSzLRLQdEwz-oDEatL-l?usp=drive_link" TargetMode="External"/><Relationship Id="rId333" Type="http://schemas.openxmlformats.org/officeDocument/2006/relationships/hyperlink" Target="https://drive.google.com/drive/folders/1Zlf6fxoRKCwErnWAmLvOo3iIGrJJwUMd?usp=drive_link" TargetMode="External"/><Relationship Id="rId211" Type="http://schemas.openxmlformats.org/officeDocument/2006/relationships/hyperlink" Target="https://drive.google.com/drive/folders/1uZvxyWq4dBAqXobiuhCuJjWOZmd0IkFu?usp=drive_link" TargetMode="External"/><Relationship Id="rId332" Type="http://schemas.openxmlformats.org/officeDocument/2006/relationships/hyperlink" Target="https://drive.google.com/file/d/1CIFvYNVc-B8lZjo5LxXCRBpL6f6yWEBa/view" TargetMode="External"/><Relationship Id="rId210" Type="http://schemas.openxmlformats.org/officeDocument/2006/relationships/hyperlink" Target="https://emec.mec.gov.br/emec/consulta-cadastro/detalhamento/d96957f455f6405d14c6542552b0f6eb/NDA5/93916316abe23148507bd4c260e4b878/MzI1MTc=" TargetMode="External"/><Relationship Id="rId331" Type="http://schemas.openxmlformats.org/officeDocument/2006/relationships/hyperlink" Target="https://drive.google.com/drive/folders/1Zlf6fxoRKCwErnWAmLvOo3iIGrJJwUMd?usp=drive_link" TargetMode="External"/><Relationship Id="rId370" Type="http://schemas.openxmlformats.org/officeDocument/2006/relationships/hyperlink" Target="https://drive.google.com/file/d/1grF_Od_-DquRCS_y9LfScHaZeFPBq6Mo/view" TargetMode="External"/><Relationship Id="rId129" Type="http://schemas.openxmlformats.org/officeDocument/2006/relationships/hyperlink" Target="http://www.planalto.gov.br/ccivil_03/leis/l6932.htm" TargetMode="External"/><Relationship Id="rId128" Type="http://schemas.openxmlformats.org/officeDocument/2006/relationships/hyperlink" Target="http://www.planalto.gov.br/ccivil_03/leis/l6932.htm" TargetMode="External"/><Relationship Id="rId249" Type="http://schemas.openxmlformats.org/officeDocument/2006/relationships/hyperlink" Target="https://drive.google.com/drive/folders/1c4Kqtt8uVofyHf_LcQHEjsNBghfM8pD_?usp=drive_link" TargetMode="External"/><Relationship Id="rId127" Type="http://schemas.openxmlformats.org/officeDocument/2006/relationships/hyperlink" Target="http://www.planalto.gov.br/ccivil_03/leis/l6932.htm" TargetMode="External"/><Relationship Id="rId248" Type="http://schemas.openxmlformats.org/officeDocument/2006/relationships/hyperlink" Target="https://drive.google.com/drive/folders/1kxEH5qMQ8vzabLjWiDxqjZYTw0Kp3dSy?usp=drive_link" TargetMode="External"/><Relationship Id="rId369" Type="http://schemas.openxmlformats.org/officeDocument/2006/relationships/hyperlink" Target="https://emec.mec.gov.br/emec/consulta-cadastro/detalhamento/d96957f455f6405d14c6542552b0f6eb/NDA5/93916316abe23148507bd4c260e4b878/MTM4NDk4" TargetMode="External"/><Relationship Id="rId126" Type="http://schemas.openxmlformats.org/officeDocument/2006/relationships/hyperlink" Target="http://www.planalto.gov.br/ccivil_03/leis/l6932.htm" TargetMode="External"/><Relationship Id="rId247" Type="http://schemas.openxmlformats.org/officeDocument/2006/relationships/hyperlink" Target="https://drive.google.com/drive/folders/1NYrty_ioKd6To635mL9tP--m2_1J1HMz?usp=drive_link" TargetMode="External"/><Relationship Id="rId368" Type="http://schemas.openxmlformats.org/officeDocument/2006/relationships/hyperlink" Target="https://drive.google.com/drive/folders/1CI4lo9Og12TdHotXOn3JktvBSp9N2VJ-?usp=drive_link" TargetMode="External"/><Relationship Id="rId121" Type="http://schemas.openxmlformats.org/officeDocument/2006/relationships/hyperlink" Target="https://drive.google.com/file/d/1iGsFwMShut6JGabrCRRAiRlE3RoPS9Zh/view?usp=sharing" TargetMode="External"/><Relationship Id="rId242" Type="http://schemas.openxmlformats.org/officeDocument/2006/relationships/hyperlink" Target="https://drive.google.com/file/d/1ip9oT-cFK1PUZe7t0KVUnmE1y_furm58/view?usp=drive_link" TargetMode="External"/><Relationship Id="rId363" Type="http://schemas.openxmlformats.org/officeDocument/2006/relationships/hyperlink" Target="https://drive.google.com/drive/folders/1UJMBf1c7vRMfHqkwDk33m-P2Z9yI-I_e?usp=drive_link" TargetMode="External"/><Relationship Id="rId120" Type="http://schemas.openxmlformats.org/officeDocument/2006/relationships/hyperlink" Target="https://drive.google.com/file/d/1CZEgB9cuiBrNVZ3S5tbuXfxN2POmlNJ7/view?usp=sharing" TargetMode="External"/><Relationship Id="rId241" Type="http://schemas.openxmlformats.org/officeDocument/2006/relationships/hyperlink" Target="http://lattes.cnpq.br/7602618181502797" TargetMode="External"/><Relationship Id="rId362" Type="http://schemas.openxmlformats.org/officeDocument/2006/relationships/hyperlink" Target="https://drive.google.com/drive/folders/1oD2dZtazcC8Rrpr9YiFlx8aRLqZosdti?usp=drive_link" TargetMode="External"/><Relationship Id="rId240" Type="http://schemas.openxmlformats.org/officeDocument/2006/relationships/hyperlink" Target="https://drive.google.com/drive/folders/1KRk4SEh8nF-TCnCnjRq61eX3nbuUuy9I?usp=drive_link" TargetMode="External"/><Relationship Id="rId361" Type="http://schemas.openxmlformats.org/officeDocument/2006/relationships/hyperlink" Target="https://drive.google.com/drive/folders/1bhQDfpxvAvPQYRT-8DAngpmnJMnqW9bX?usp=drive_link" TargetMode="External"/><Relationship Id="rId360" Type="http://schemas.openxmlformats.org/officeDocument/2006/relationships/hyperlink" Target="https://drive.google.com/drive/folders/1cQgVutXsSy7vg1B9vr9epcE74KuYnFxR?usp=drive_link" TargetMode="External"/><Relationship Id="rId125" Type="http://schemas.openxmlformats.org/officeDocument/2006/relationships/hyperlink" Target="http://www.planalto.gov.br/ccivil_03/leis/l6932.htm" TargetMode="External"/><Relationship Id="rId246" Type="http://schemas.openxmlformats.org/officeDocument/2006/relationships/hyperlink" Target="http://www.upe.br/garanhuns/pos-graduacao-lato-sensu/" TargetMode="External"/><Relationship Id="rId367" Type="http://schemas.openxmlformats.org/officeDocument/2006/relationships/hyperlink" Target="https://drive.google.com/drive/folders/1K0xJdrJ873cmtAFWCjOmZZJiFs05zpE5?usp=drive_link" TargetMode="External"/><Relationship Id="rId124" Type="http://schemas.openxmlformats.org/officeDocument/2006/relationships/hyperlink" Target="http://www.planalto.gov.br/ccivil_03/leis/l6932.htm" TargetMode="External"/><Relationship Id="rId245" Type="http://schemas.openxmlformats.org/officeDocument/2006/relationships/hyperlink" Target="https://drive.google.com/file/d/13yVNyP_-d_MLBzzyu9VIVhN_npAg7Szk/view?usp=drive_link" TargetMode="External"/><Relationship Id="rId366" Type="http://schemas.openxmlformats.org/officeDocument/2006/relationships/hyperlink" Target="https://emec.mec.gov.br/emec/consulta-cadastro/detalhamento/d96957f455f6405d14c6542552b0f6eb/NDA5/93916316abe23148507bd4c260e4b878/MTM0NDgy" TargetMode="External"/><Relationship Id="rId123" Type="http://schemas.openxmlformats.org/officeDocument/2006/relationships/hyperlink" Target="https://emec.mec.gov.br/emec/consulta-cadastro/detalhamento/d96957f455f6405d14c6542552b0f6eb/NDA5/93916316abe23148507bd4c260e4b878/MTczNDM4" TargetMode="External"/><Relationship Id="rId244" Type="http://schemas.openxmlformats.org/officeDocument/2006/relationships/hyperlink" Target="http://lattes.cnpq.br/9831904836802638" TargetMode="External"/><Relationship Id="rId365" Type="http://schemas.openxmlformats.org/officeDocument/2006/relationships/hyperlink" Target="mailto:victor.neves@upe.br" TargetMode="External"/><Relationship Id="rId122" Type="http://schemas.openxmlformats.org/officeDocument/2006/relationships/hyperlink" Target="https://drive.google.com/drive/folders/10XioWGIOj5xIEV0s24sFx7dpINnGMwBi?usp=drive_link" TargetMode="External"/><Relationship Id="rId243" Type="http://schemas.openxmlformats.org/officeDocument/2006/relationships/hyperlink" Target="https://drive.google.com/drive/folders/1NYrty_ioKd6To635mL9tP--m2_1J1HMz?usp=drive_link" TargetMode="External"/><Relationship Id="rId364" Type="http://schemas.openxmlformats.org/officeDocument/2006/relationships/hyperlink" Target="https://drive.google.com/drive/folders/1v1DkXdNeVshT2SW0y_5RVBMh-eMMCOws?usp=drive_link" TargetMode="External"/><Relationship Id="rId95" Type="http://schemas.openxmlformats.org/officeDocument/2006/relationships/hyperlink" Target="http://lattes.cnpq.br/0303674862794540" TargetMode="External"/><Relationship Id="rId94" Type="http://schemas.openxmlformats.org/officeDocument/2006/relationships/hyperlink" Target="https://drive.google.com/drive/folders/1SbPrwnjDh488lx_MqdzLXDCdEJHuLaWg?usp=sharing" TargetMode="External"/><Relationship Id="rId97" Type="http://schemas.openxmlformats.org/officeDocument/2006/relationships/hyperlink" Target="https://drive.google.com/drive/folders/1adxUGSP5Xxwe6JJUWtODxIk2t3sgCnHE?usp=sharing" TargetMode="External"/><Relationship Id="rId96" Type="http://schemas.openxmlformats.org/officeDocument/2006/relationships/hyperlink" Target="https://drive.google.com/file/d/17UVKnDQ28dWyYEfdYuMfC0R71FJ24cSe/view" TargetMode="External"/><Relationship Id="rId99" Type="http://schemas.openxmlformats.org/officeDocument/2006/relationships/hyperlink" Target="https://drive.google.com/drive/folders/1vf2sJvwONn9I35FfSMUVk8dPstfS9yej?usp=sharing" TargetMode="External"/><Relationship Id="rId98" Type="http://schemas.openxmlformats.org/officeDocument/2006/relationships/hyperlink" Target="https://drive.google.com/file/d/1hCtPbLBkR7qfDDmt3mbJ0Ac2mPcgUCwr/view" TargetMode="External"/><Relationship Id="rId91" Type="http://schemas.openxmlformats.org/officeDocument/2006/relationships/hyperlink" Target="https://drive.google.com/file/d/1ltn6YeO7IMJNdEtymEY29lAQTRGM4YTu/view" TargetMode="External"/><Relationship Id="rId90" Type="http://schemas.openxmlformats.org/officeDocument/2006/relationships/hyperlink" Target="http://lattes.cnpq.br/0925195763491278" TargetMode="External"/><Relationship Id="rId93" Type="http://schemas.openxmlformats.org/officeDocument/2006/relationships/hyperlink" Target="https://drive.google.com/file/d/1IGE8-rLDm5fvAWFA93qTPOYODXHS1_Tt/view" TargetMode="External"/><Relationship Id="rId92" Type="http://schemas.openxmlformats.org/officeDocument/2006/relationships/hyperlink" Target="https://drive.google.com/drive/folders/1Mn_rUxws9M_cdIsGAzDEn7M9J830cTC0?usp=sharing" TargetMode="External"/><Relationship Id="rId118" Type="http://schemas.openxmlformats.org/officeDocument/2006/relationships/hyperlink" Target="https://drive.google.com/file/d/1Gb1yvufFUuz6Iul8vxlAcd1S4k4hVGMR/view?usp=sharing" TargetMode="External"/><Relationship Id="rId239" Type="http://schemas.openxmlformats.org/officeDocument/2006/relationships/hyperlink" Target="https://drive.google.com/drive/folders/1nw_niINTMBjO_5liKYODsK1J0v2-BNhk?usp=drive_link" TargetMode="External"/><Relationship Id="rId117" Type="http://schemas.openxmlformats.org/officeDocument/2006/relationships/hyperlink" Target="https://drive.google.com/file/d/1RjePbqRi2I0i2zZfViBFf8jTv7-UX32l/view?usp=sharing" TargetMode="External"/><Relationship Id="rId238" Type="http://schemas.openxmlformats.org/officeDocument/2006/relationships/hyperlink" Target="https://drive.google.com/drive/folders/12Q2qGT0fxkXRIBtaLLsQKoYY8mjoX02t?usp=drive_link" TargetMode="External"/><Relationship Id="rId359" Type="http://schemas.openxmlformats.org/officeDocument/2006/relationships/hyperlink" Target="https://drive.google.com/drive/folders/1nqF0rwJA8qHL_wa5DZjRCW6aGR17bn6c?usp=drive_link" TargetMode="External"/><Relationship Id="rId116" Type="http://schemas.openxmlformats.org/officeDocument/2006/relationships/hyperlink" Target="https://drive.google.com/file/d/14_v8SWEELz_dPORVVLeim0EaXMROJEkn/view?usp=sharing" TargetMode="External"/><Relationship Id="rId237" Type="http://schemas.openxmlformats.org/officeDocument/2006/relationships/hyperlink" Target="https://drive.google.com/file/d/10rc3TxpvL-Uidq7NW-GsK7-6nmN4c3uL/view" TargetMode="External"/><Relationship Id="rId358" Type="http://schemas.openxmlformats.org/officeDocument/2006/relationships/hyperlink" Target="https://drive.google.com/drive/folders/1DhHuxtTPtVyCd8zm_jI1rvlXBt7zMfMs?usp=drive_link" TargetMode="External"/><Relationship Id="rId115" Type="http://schemas.openxmlformats.org/officeDocument/2006/relationships/hyperlink" Target="https://drive.google.com/file/d/1H7_PzViqjepCtu_CH5qZ3D6pxt7lN2PR/view" TargetMode="External"/><Relationship Id="rId236" Type="http://schemas.openxmlformats.org/officeDocument/2006/relationships/hyperlink" Target="http://lattes.cnpq.br/9996704738624774" TargetMode="External"/><Relationship Id="rId357" Type="http://schemas.openxmlformats.org/officeDocument/2006/relationships/hyperlink" Target="https://drive.google.com/drive/folders/1lxrQKammlgO6QqhVIKPszcYXyRygbJ4k?usp=drive_link" TargetMode="External"/><Relationship Id="rId119" Type="http://schemas.openxmlformats.org/officeDocument/2006/relationships/hyperlink" Target="https://drive.google.com/file/d/1szwZnOIZNunQZTGLTPa4sVTSIpXj8BY5/view?usp=sharing" TargetMode="External"/><Relationship Id="rId110" Type="http://schemas.openxmlformats.org/officeDocument/2006/relationships/hyperlink" Target="https://drive.google.com/drive/folders/1DpephRdA_TaNknWBPdJPhxrVE7_EGkWH?usp=drive_link" TargetMode="External"/><Relationship Id="rId231" Type="http://schemas.openxmlformats.org/officeDocument/2006/relationships/hyperlink" Target="http://lattes.cnpq.br/7602618181502797" TargetMode="External"/><Relationship Id="rId352" Type="http://schemas.openxmlformats.org/officeDocument/2006/relationships/hyperlink" Target="https://drive.google.com/drive/folders/1jqryXXTXJW1byI_L_sFAeTAjn_PjXeX1?usp=drive_link" TargetMode="External"/><Relationship Id="rId230" Type="http://schemas.openxmlformats.org/officeDocument/2006/relationships/hyperlink" Target="https://drive.google.com/drive/folders/1GYqRNB4jQ-rhEeumnhQeQBwg3NSsJmad?usp=drive_link" TargetMode="External"/><Relationship Id="rId351" Type="http://schemas.openxmlformats.org/officeDocument/2006/relationships/hyperlink" Target="https://drive.google.com/drive/folders/1AhaGygtsCt8eWaZj4ejwruJri7iw9Bcj?usp=drive_link" TargetMode="External"/><Relationship Id="rId350" Type="http://schemas.openxmlformats.org/officeDocument/2006/relationships/hyperlink" Target="https://drive.google.com/drive/folders/18KH3cBXBQJ5vJIzDhETeH11h2SkVFLqH?usp=drive_link" TargetMode="External"/><Relationship Id="rId114" Type="http://schemas.openxmlformats.org/officeDocument/2006/relationships/hyperlink" Target="https://drive.google.com/drive/folders/1aCPEcWeyI6bZWaWpwmxE7xUlKJuv7WjE?usp=drive_link" TargetMode="External"/><Relationship Id="rId235" Type="http://schemas.openxmlformats.org/officeDocument/2006/relationships/hyperlink" Target="https://drive.google.com/drive/folders/1lDnGU4ET5ptXB_6_LKabKT3i0iMbFE2b?usp=drive_link" TargetMode="External"/><Relationship Id="rId356" Type="http://schemas.openxmlformats.org/officeDocument/2006/relationships/hyperlink" Target="https://drive.google.com/drive/folders/1lxrQKammlgO6QqhVIKPszcYXyRygbJ4k?usp=drive_link" TargetMode="External"/><Relationship Id="rId113" Type="http://schemas.openxmlformats.org/officeDocument/2006/relationships/hyperlink" Target="https://drive.google.com/file/d/1g3LNuBpYIT5i_OfWM5l7Q_cVHjAnyda_/view" TargetMode="External"/><Relationship Id="rId234" Type="http://schemas.openxmlformats.org/officeDocument/2006/relationships/hyperlink" Target="http://www.upe.br/fop" TargetMode="External"/><Relationship Id="rId355" Type="http://schemas.openxmlformats.org/officeDocument/2006/relationships/hyperlink" Target="https://drive.google.com/drive/folders/13nM0bvLaCj_V4IpsLge1vmtPDrCcLDjp?usp=drive_link" TargetMode="External"/><Relationship Id="rId112" Type="http://schemas.openxmlformats.org/officeDocument/2006/relationships/hyperlink" Target="https://drive.google.com/drive/folders/1wHcZBIgvYLgaXxP1T2HajlF6R6TsheME?usp=drive_link" TargetMode="External"/><Relationship Id="rId233" Type="http://schemas.openxmlformats.org/officeDocument/2006/relationships/hyperlink" Target="https://emec.mec.gov.br/emec/consulta-cadastro/detalhamento/d96957f455f6405d14c6542552b0f6eb/NDA5/93916316abe23148507bd4c260e4b878/NTU2NTM=" TargetMode="External"/><Relationship Id="rId354" Type="http://schemas.openxmlformats.org/officeDocument/2006/relationships/hyperlink" Target="https://drive.google.com/drive/folders/1CSsP1EpMvwuzvjlhzd6_swwXwQucsKo2?usp=drive_link" TargetMode="External"/><Relationship Id="rId111" Type="http://schemas.openxmlformats.org/officeDocument/2006/relationships/hyperlink" Target="https://drive.google.com/file/d/1mm5L2XNE8ucd7Ii3pGWPanyhVFBYap5W/view" TargetMode="External"/><Relationship Id="rId232" Type="http://schemas.openxmlformats.org/officeDocument/2006/relationships/hyperlink" Target="https://drive.google.com/file/d/1T-ZlIYcRh0VmaVz--clHvgt5rV5Ztqhq/view?usp=drive_link" TargetMode="External"/><Relationship Id="rId353" Type="http://schemas.openxmlformats.org/officeDocument/2006/relationships/hyperlink" Target="https://drive.google.com/drive/folders/1jqryXXTXJW1byI_L_sFAeTAjn_PjXeX1?usp=drive_link" TargetMode="External"/><Relationship Id="rId305" Type="http://schemas.openxmlformats.org/officeDocument/2006/relationships/hyperlink" Target="https://drive.google.com/drive/folders/1bcONBtYAIQQl3fa0sNGfNEHHvT-P1Qr3?usp=drive_link" TargetMode="External"/><Relationship Id="rId304" Type="http://schemas.openxmlformats.org/officeDocument/2006/relationships/hyperlink" Target="https://drive.google.com/file/d/1i10_q8Pl2OW1qUfophuvb5VB30NdoarL/view" TargetMode="External"/><Relationship Id="rId303" Type="http://schemas.openxmlformats.org/officeDocument/2006/relationships/hyperlink" Target="https://drive.google.com/drive/folders/1yFSWvrLJkuH-b24cz-Qeuh03qt98ubKM?usp=drive_link" TargetMode="External"/><Relationship Id="rId302" Type="http://schemas.openxmlformats.org/officeDocument/2006/relationships/hyperlink" Target="https://drive.google.com/file/d/1Kcr2wa_x_vDjvbpWYrw8XvOpazRB2pds/view?usp=sharing" TargetMode="External"/><Relationship Id="rId309" Type="http://schemas.openxmlformats.org/officeDocument/2006/relationships/hyperlink" Target="https://drive.google.com/drive/folders/1k4AJSLzRb8mDsPPtqmGclWiDLitPV1Ze?usp=drive_link" TargetMode="External"/><Relationship Id="rId308" Type="http://schemas.openxmlformats.org/officeDocument/2006/relationships/hyperlink" Target="https://drive.google.com/file/d/12J08XvsrscYETJBQyqGV0-OPbM2jSGQ6/view" TargetMode="External"/><Relationship Id="rId307" Type="http://schemas.openxmlformats.org/officeDocument/2006/relationships/hyperlink" Target="https://drive.google.com/drive/folders/1huClvc8-8CXln1nA2xIfa_4LHuDvY-N6?usp=drive_link" TargetMode="External"/><Relationship Id="rId306" Type="http://schemas.openxmlformats.org/officeDocument/2006/relationships/hyperlink" Target="https://drive.google.com/file/d/1J7gfgBHG0f7bL9nIgGiUjC9ImCAe95-4/view" TargetMode="External"/><Relationship Id="rId301" Type="http://schemas.openxmlformats.org/officeDocument/2006/relationships/hyperlink" Target="https://drive.google.com/file/d/10WyhovTroKNWEB5oXa_7uIr6TyrDpgoQ/view" TargetMode="External"/><Relationship Id="rId300" Type="http://schemas.openxmlformats.org/officeDocument/2006/relationships/hyperlink" Target="https://drive.google.com/drive/folders/12X0npkhZEslSvbJQc9h6opm3Mc2J3aC_?usp=drive_link" TargetMode="External"/><Relationship Id="rId415" Type="http://schemas.openxmlformats.org/officeDocument/2006/relationships/hyperlink" Target="https://drive.google.com/file/d/1dEoNj09DhXDSnBs5nStt8gYxGeMfDd6F/view?usp=sharing" TargetMode="External"/><Relationship Id="rId414" Type="http://schemas.openxmlformats.org/officeDocument/2006/relationships/hyperlink" Target="https://drive.google.com/file/d/1QJ02hRvmwhv6186VEltScVDAt8ciaRh7/view?usp=sharing" TargetMode="External"/><Relationship Id="rId413" Type="http://schemas.openxmlformats.org/officeDocument/2006/relationships/hyperlink" Target="https://drive.google.com/file/d/1rlc_J76Bfj1d6EoFQ42x-rtOVuWDQbh2/view?usp=sharing" TargetMode="External"/><Relationship Id="rId412" Type="http://schemas.openxmlformats.org/officeDocument/2006/relationships/hyperlink" Target="https://drive.google.com/file/d/1Vt7DpjdlfM83Bh6E3c90SwHzHcKbkAz8/view?usp=sharing" TargetMode="External"/><Relationship Id="rId417" Type="http://schemas.openxmlformats.org/officeDocument/2006/relationships/drawing" Target="../drawings/drawing1.xml"/><Relationship Id="rId416" Type="http://schemas.openxmlformats.org/officeDocument/2006/relationships/hyperlink" Target="https://drive.google.com/file/d/1eR9bRg3Il-zPTtw2do0AcLwPU9VwMYIi/view?usp=drive_link" TargetMode="External"/><Relationship Id="rId411" Type="http://schemas.openxmlformats.org/officeDocument/2006/relationships/hyperlink" Target="https://emec.mec.gov.br/emec/consulta-cadastro/detalhamento/d96957f455f6405d14c6542552b0f6eb/NDA5/93916316abe23148507bd4c260e4b878/MTM0NDc3" TargetMode="External"/><Relationship Id="rId410" Type="http://schemas.openxmlformats.org/officeDocument/2006/relationships/hyperlink" Target="https://drive.google.com/file/d/1KAEg_CE2ldml8sRC-Ezw4dmr3tnMZ2C6/view?usp=drive_link" TargetMode="External"/><Relationship Id="rId206" Type="http://schemas.openxmlformats.org/officeDocument/2006/relationships/hyperlink" Target="http://lattes.cnpq.br/0722783724229470" TargetMode="External"/><Relationship Id="rId327" Type="http://schemas.openxmlformats.org/officeDocument/2006/relationships/hyperlink" Target="https://drive.google.com/drive/folders/1SUscmHeFubLt3E7XgZMI-u6Wz03U5k9u?usp=drive_link" TargetMode="External"/><Relationship Id="rId205" Type="http://schemas.openxmlformats.org/officeDocument/2006/relationships/hyperlink" Target="https://drive.google.com/drive/folders/14MxxJbKlcGyIrCY6ZuvXDrUWX_oHTKIJ?usp=drive_link" TargetMode="External"/><Relationship Id="rId326" Type="http://schemas.openxmlformats.org/officeDocument/2006/relationships/hyperlink" Target="https://drive.google.com/file/d/1i10_q8Pl2OW1qUfophuvb5VB30NdoarL/view" TargetMode="External"/><Relationship Id="rId204" Type="http://schemas.openxmlformats.org/officeDocument/2006/relationships/hyperlink" Target="https://drive.google.com/drive/folders/1jOAUkQb1tXwqB6OxFoMItfgYgU4p19yo?usp=drive_link" TargetMode="External"/><Relationship Id="rId325" Type="http://schemas.openxmlformats.org/officeDocument/2006/relationships/hyperlink" Target="https://drive.google.com/drive/folders/1yFSWvrLJkuH-b24cz-Qeuh03qt98ubKM?usp=drive_link" TargetMode="External"/><Relationship Id="rId203" Type="http://schemas.openxmlformats.org/officeDocument/2006/relationships/hyperlink" Target="https://drive.google.com/drive/folders/1CvgrUk2y2w18O8om7GSV-fi3RSPbPQyV?usp=drive_link" TargetMode="External"/><Relationship Id="rId324" Type="http://schemas.openxmlformats.org/officeDocument/2006/relationships/hyperlink" Target="https://drive.google.com/file/d/1USLqqsDaoKU-s9iuCka4hA4nDcGl1nIS/view" TargetMode="External"/><Relationship Id="rId209" Type="http://schemas.openxmlformats.org/officeDocument/2006/relationships/hyperlink" Target="https://drive.google.com/drive/folders/1Yu4rZBOLQCZxjKtPlXFMWm6H8XQAfRrM?usp=drive_link" TargetMode="External"/><Relationship Id="rId208" Type="http://schemas.openxmlformats.org/officeDocument/2006/relationships/hyperlink" Target="https://emec.mec.gov.br/emec/consulta-cadastro/detalhamento/d96957f455f6405d14c6542552b0f6eb/NDA5/93916316abe23148507bd4c260e4b878/NTY1MjU=" TargetMode="External"/><Relationship Id="rId329" Type="http://schemas.openxmlformats.org/officeDocument/2006/relationships/hyperlink" Target="https://drive.google.com/drive/folders/1kJN7b5-uqi2C7Rl8v8uolpE4NIJSd4E8?usp=drive_link" TargetMode="External"/><Relationship Id="rId207" Type="http://schemas.openxmlformats.org/officeDocument/2006/relationships/hyperlink" Target="https://drive.google.com/file/d/1avnvD-9aSFgnBYVLVIQUPoTsz220USEA/view?usp=drive_link" TargetMode="External"/><Relationship Id="rId328" Type="http://schemas.openxmlformats.org/officeDocument/2006/relationships/hyperlink" Target="https://drive.google.com/file/d/1F5yJ17fUVbk-30UgUNXI6kyfsurS15Hb/view" TargetMode="External"/><Relationship Id="rId202" Type="http://schemas.openxmlformats.org/officeDocument/2006/relationships/hyperlink" Target="https://drive.google.com/drive/folders/1fn69zjpgTV-jdMXJrmDWbqGemrKMcB9m?usp=drive_link" TargetMode="External"/><Relationship Id="rId323" Type="http://schemas.openxmlformats.org/officeDocument/2006/relationships/hyperlink" Target="https://drive.google.com/drive/folders/19OLnSqGm3U2TkSg27MlLTDZhEjWr9YBM?usp=drive_link" TargetMode="External"/><Relationship Id="rId201" Type="http://schemas.openxmlformats.org/officeDocument/2006/relationships/hyperlink" Target="https://emec.mec.gov.br/emec/consulta-cadastro/detalhamento/d96957f455f6405d14c6542552b0f6eb/NDA5/93916316abe23148507bd4c260e4b878/MzI1MjA=" TargetMode="External"/><Relationship Id="rId322" Type="http://schemas.openxmlformats.org/officeDocument/2006/relationships/hyperlink" Target="https://drive.google.com/file/d/1fjMQFN6qlrbFGfr08lLOiB-cxto4CKOa/view" TargetMode="External"/><Relationship Id="rId200" Type="http://schemas.openxmlformats.org/officeDocument/2006/relationships/hyperlink" Target="https://drive.google.com/drive/folders/1aW4uROxpLKaKsFOu3Ef2UYFM0qoH4Zk6?usp=drive_link" TargetMode="External"/><Relationship Id="rId321" Type="http://schemas.openxmlformats.org/officeDocument/2006/relationships/hyperlink" Target="https://drive.google.com/drive/folders/1r9pd12CGpfknnbLLtX38DqKT6Y08py7r?usp=drive_link" TargetMode="External"/><Relationship Id="rId320" Type="http://schemas.openxmlformats.org/officeDocument/2006/relationships/hyperlink" Target="https://drive.google.com/file/d/1_igG7IG8WirVuD6p8uLfKsA6Zh0gXAey/view" TargetMode="External"/><Relationship Id="rId316" Type="http://schemas.openxmlformats.org/officeDocument/2006/relationships/hyperlink" Target="https://drive.google.com/file/d/1jSboXKLxL9u0xSKZO2FNiPhYNAWfTkH1/view" TargetMode="External"/><Relationship Id="rId315" Type="http://schemas.openxmlformats.org/officeDocument/2006/relationships/hyperlink" Target="https://drive.google.com/drive/folders/1Vy_hIcxZP71k7Ze5toFkaVIJlJ35-jPU?usp=drive_link" TargetMode="External"/><Relationship Id="rId314" Type="http://schemas.openxmlformats.org/officeDocument/2006/relationships/hyperlink" Target="https://drive.google.com/file/d/16TPnFYhbubsGWEFtqwhKN7C1yyE-QZ0D/view" TargetMode="External"/><Relationship Id="rId313" Type="http://schemas.openxmlformats.org/officeDocument/2006/relationships/hyperlink" Target="https://drive.google.com/drive/folders/1fTbfwXW9yiCeYZ9MsUnmsqnSDfMUJEAa?usp=drive_link" TargetMode="External"/><Relationship Id="rId319" Type="http://schemas.openxmlformats.org/officeDocument/2006/relationships/hyperlink" Target="https://drive.google.com/drive/folders/1sqrJMvrIMf8CVDZY9xYH5gznZsGjwoST?usp=drive_link" TargetMode="External"/><Relationship Id="rId318" Type="http://schemas.openxmlformats.org/officeDocument/2006/relationships/hyperlink" Target="https://drive.google.com/file/d/1yGlX_sxl6IXzmEOzvxPPjSkz6NfbfNJm/view" TargetMode="External"/><Relationship Id="rId317" Type="http://schemas.openxmlformats.org/officeDocument/2006/relationships/hyperlink" Target="https://drive.google.com/drive/folders/1hlY1fuu90KXj8vzVP3GGbMJTqjRjtZLt?usp=drive_link" TargetMode="External"/><Relationship Id="rId312" Type="http://schemas.openxmlformats.org/officeDocument/2006/relationships/hyperlink" Target="https://drive.google.com/file/d/1jjukIu9CEKG-2ir6Qvhne3Hyl9pASzQI/view" TargetMode="External"/><Relationship Id="rId311" Type="http://schemas.openxmlformats.org/officeDocument/2006/relationships/hyperlink" Target="https://drive.google.com/drive/folders/1MIjeVBu-8i6Y_z-Y1gcst_xiNC1bDbFQ?usp=drive_link" TargetMode="External"/><Relationship Id="rId310" Type="http://schemas.openxmlformats.org/officeDocument/2006/relationships/hyperlink" Target="https://drive.google.com/file/d/1CK6F7e4Nd8gFcwj5GGqzUaZUyB2QJvXe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20.63"/>
    <col customWidth="1" min="3" max="3" width="34.75"/>
    <col customWidth="1" min="4" max="4" width="32.38"/>
    <col customWidth="1" min="5" max="5" width="29.75"/>
    <col customWidth="1" min="6" max="6" width="21.13"/>
    <col customWidth="1" min="7" max="7" width="21.88"/>
    <col customWidth="1" min="8" max="8" width="15.0"/>
    <col customWidth="1" min="9" max="9" width="11.63"/>
    <col customWidth="1" min="10" max="10" width="12.88"/>
    <col customWidth="1" min="11" max="11" width="14.63"/>
    <col customWidth="1" min="12" max="13" width="16.63"/>
    <col customWidth="1" min="14" max="14" width="17.25"/>
    <col customWidth="1" min="15" max="15" width="64.63"/>
    <col customWidth="1" min="16" max="16" width="30.25"/>
    <col customWidth="1" min="17" max="17" width="14.25"/>
    <col customWidth="1" min="18" max="18" width="19.75"/>
    <col customWidth="1" min="19" max="19" width="16.25"/>
    <col customWidth="1" min="20" max="20" width="18.63"/>
    <col customWidth="1" min="21" max="22" width="11.0"/>
    <col customWidth="1" min="23" max="23" width="10.0"/>
    <col customWidth="1" min="24" max="24" width="11.5"/>
    <col customWidth="1" min="25" max="25" width="17.88"/>
    <col customWidth="1" min="26" max="26" width="15.25"/>
    <col customWidth="1" min="27" max="31" width="17.75"/>
    <col customWidth="1" min="32" max="32" width="25.0"/>
    <col customWidth="1" min="33" max="33" width="17.75"/>
    <col customWidth="1" min="34" max="35" width="27.5"/>
    <col customWidth="1" min="36" max="37" width="26.25"/>
    <col customWidth="1" min="38" max="38" width="19.88"/>
    <col customWidth="1" min="39" max="39" width="18.0"/>
    <col customWidth="1" min="40" max="40" width="13.38"/>
    <col customWidth="1" min="41" max="41" width="10.5"/>
    <col customWidth="1" min="42" max="42" width="15.63"/>
    <col customWidth="1" min="43" max="43" width="30.25"/>
    <col customWidth="1" min="44" max="44" width="19.75"/>
    <col customWidth="1" min="45" max="45" width="22.25"/>
    <col customWidth="1" min="46" max="46" width="16.75"/>
    <col customWidth="1" min="47" max="47" width="19.13"/>
    <col customWidth="1" min="48" max="48" width="14.13"/>
    <col customWidth="1" hidden="1" min="49" max="53" width="8.38"/>
    <col customWidth="1" hidden="1" min="54" max="54" width="19.0"/>
    <col customWidth="1" hidden="1" min="55" max="55" width="19.75"/>
    <col customWidth="1" hidden="1" min="56" max="58" width="18.38"/>
    <col customWidth="1" hidden="1" min="59" max="61" width="29.38"/>
  </cols>
  <sheetData>
    <row r="1" ht="15.75" customHeight="1">
      <c r="A1" s="1" t="s">
        <v>0</v>
      </c>
      <c r="B1" s="2" t="s">
        <v>1</v>
      </c>
      <c r="C1" s="3"/>
      <c r="D1" s="4"/>
      <c r="E1" s="4"/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6"/>
      <c r="AA1" s="4"/>
      <c r="AB1" s="4"/>
      <c r="AC1" s="4"/>
      <c r="AD1" s="4"/>
      <c r="AE1" s="4"/>
      <c r="AF1" s="7"/>
      <c r="AG1" s="7"/>
      <c r="AH1" s="4"/>
      <c r="AI1" s="4"/>
      <c r="AJ1" s="4"/>
      <c r="AK1" s="4"/>
      <c r="AL1" s="8"/>
      <c r="AM1" s="9"/>
      <c r="AN1" s="10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</row>
    <row r="2" ht="15.75" customHeight="1">
      <c r="A2" s="11"/>
      <c r="B2" s="12"/>
      <c r="C2" s="13"/>
      <c r="D2" s="14" t="s">
        <v>2</v>
      </c>
      <c r="E2" s="15"/>
      <c r="F2" s="15"/>
      <c r="G2" s="15"/>
      <c r="H2" s="16" t="s">
        <v>3</v>
      </c>
      <c r="I2" s="17"/>
      <c r="J2" s="17"/>
      <c r="K2" s="17"/>
      <c r="L2" s="17"/>
      <c r="M2" s="17"/>
      <c r="N2" s="17"/>
      <c r="O2" s="18" t="s">
        <v>4</v>
      </c>
      <c r="P2" s="19"/>
      <c r="Q2" s="17" t="s">
        <v>5</v>
      </c>
      <c r="R2" s="17"/>
      <c r="S2" s="17"/>
      <c r="T2" s="17"/>
      <c r="U2" s="17"/>
      <c r="V2" s="17"/>
      <c r="W2" s="17"/>
      <c r="X2" s="17"/>
      <c r="Y2" s="17"/>
      <c r="Z2" s="20"/>
      <c r="AA2" s="21" t="s">
        <v>6</v>
      </c>
      <c r="AB2" s="22"/>
      <c r="AC2" s="22"/>
      <c r="AD2" s="22"/>
      <c r="AE2" s="22"/>
      <c r="AF2" s="22"/>
      <c r="AG2" s="22"/>
      <c r="AH2" s="22"/>
      <c r="AI2" s="22"/>
      <c r="AJ2" s="22"/>
      <c r="AK2" s="23"/>
      <c r="AL2" s="24" t="s">
        <v>7</v>
      </c>
      <c r="AM2" s="25"/>
      <c r="AN2" s="25"/>
      <c r="AO2" s="26"/>
      <c r="AP2" s="27" t="s">
        <v>8</v>
      </c>
      <c r="AQ2" s="28"/>
      <c r="AR2" s="29"/>
      <c r="AS2" s="30"/>
      <c r="AT2" s="30"/>
      <c r="AU2" s="30"/>
      <c r="AV2" s="30"/>
      <c r="AW2" s="30"/>
      <c r="AX2" s="30"/>
      <c r="AY2" s="30"/>
      <c r="AZ2" s="30"/>
      <c r="BA2" s="31"/>
      <c r="BB2" s="32" t="s">
        <v>9</v>
      </c>
      <c r="BC2" s="33"/>
      <c r="BD2" s="33"/>
      <c r="BE2" s="33"/>
      <c r="BF2" s="34"/>
      <c r="BG2" s="35" t="s">
        <v>10</v>
      </c>
      <c r="BH2" s="36"/>
      <c r="BI2" s="37" t="s">
        <v>11</v>
      </c>
    </row>
    <row r="3" ht="17.25" customHeight="1">
      <c r="A3" s="38" t="s">
        <v>0</v>
      </c>
      <c r="B3" s="39" t="s">
        <v>12</v>
      </c>
      <c r="C3" s="40" t="s">
        <v>13</v>
      </c>
      <c r="D3" s="38" t="s">
        <v>14</v>
      </c>
      <c r="E3" s="41" t="s">
        <v>15</v>
      </c>
      <c r="F3" s="42" t="s">
        <v>16</v>
      </c>
      <c r="G3" s="41" t="s">
        <v>17</v>
      </c>
      <c r="H3" s="43" t="s">
        <v>18</v>
      </c>
      <c r="I3" s="43" t="s">
        <v>19</v>
      </c>
      <c r="J3" s="38" t="s">
        <v>20</v>
      </c>
      <c r="K3" s="38" t="s">
        <v>21</v>
      </c>
      <c r="L3" s="43" t="s">
        <v>22</v>
      </c>
      <c r="M3" s="43" t="s">
        <v>23</v>
      </c>
      <c r="N3" s="43" t="s">
        <v>24</v>
      </c>
      <c r="O3" s="41" t="s">
        <v>25</v>
      </c>
      <c r="P3" s="41" t="s">
        <v>26</v>
      </c>
      <c r="Q3" s="43" t="s">
        <v>27</v>
      </c>
      <c r="R3" s="43" t="s">
        <v>28</v>
      </c>
      <c r="S3" s="43" t="s">
        <v>29</v>
      </c>
      <c r="T3" s="43" t="s">
        <v>30</v>
      </c>
      <c r="U3" s="43" t="s">
        <v>31</v>
      </c>
      <c r="V3" s="43" t="s">
        <v>32</v>
      </c>
      <c r="W3" s="43" t="s">
        <v>33</v>
      </c>
      <c r="X3" s="43" t="s">
        <v>34</v>
      </c>
      <c r="Y3" s="43" t="s">
        <v>35</v>
      </c>
      <c r="Z3" s="44" t="s">
        <v>36</v>
      </c>
      <c r="AA3" s="45" t="s">
        <v>37</v>
      </c>
      <c r="AB3" s="45" t="s">
        <v>38</v>
      </c>
      <c r="AC3" s="45" t="s">
        <v>39</v>
      </c>
      <c r="AD3" s="45" t="s">
        <v>40</v>
      </c>
      <c r="AE3" s="46" t="s">
        <v>41</v>
      </c>
      <c r="AF3" s="47" t="s">
        <v>42</v>
      </c>
      <c r="AG3" s="47" t="s">
        <v>43</v>
      </c>
      <c r="AH3" s="46" t="s">
        <v>44</v>
      </c>
      <c r="AI3" s="46" t="s">
        <v>45</v>
      </c>
      <c r="AJ3" s="46" t="s">
        <v>46</v>
      </c>
      <c r="AK3" s="46" t="s">
        <v>47</v>
      </c>
      <c r="AL3" s="48" t="s">
        <v>48</v>
      </c>
      <c r="AM3" s="49" t="s">
        <v>49</v>
      </c>
      <c r="AN3" s="48" t="s">
        <v>50</v>
      </c>
      <c r="AO3" s="48" t="s">
        <v>51</v>
      </c>
      <c r="AP3" s="50" t="s">
        <v>52</v>
      </c>
      <c r="AQ3" s="51" t="s">
        <v>53</v>
      </c>
      <c r="AR3" s="50" t="s">
        <v>54</v>
      </c>
      <c r="AS3" s="52" t="s">
        <v>55</v>
      </c>
      <c r="AT3" s="52" t="s">
        <v>56</v>
      </c>
      <c r="AU3" s="52" t="s">
        <v>57</v>
      </c>
      <c r="AV3" s="52" t="s">
        <v>58</v>
      </c>
      <c r="AW3" s="53">
        <v>44958.0</v>
      </c>
      <c r="AX3" s="53">
        <v>45292.0</v>
      </c>
      <c r="AY3" s="53">
        <v>45323.0</v>
      </c>
      <c r="AZ3" s="53">
        <v>45658.0</v>
      </c>
      <c r="BA3" s="53">
        <v>45689.0</v>
      </c>
      <c r="BB3" s="54" t="s">
        <v>59</v>
      </c>
      <c r="BC3" s="54" t="s">
        <v>59</v>
      </c>
      <c r="BD3" s="54" t="s">
        <v>59</v>
      </c>
      <c r="BE3" s="54" t="s">
        <v>59</v>
      </c>
      <c r="BF3" s="54" t="s">
        <v>59</v>
      </c>
      <c r="BG3" s="54" t="s">
        <v>60</v>
      </c>
      <c r="BH3" s="54" t="s">
        <v>61</v>
      </c>
      <c r="BI3" s="54"/>
    </row>
    <row r="4" ht="15.75" customHeight="1">
      <c r="A4" s="55" t="s">
        <v>62</v>
      </c>
      <c r="B4" s="56" t="s">
        <v>63</v>
      </c>
      <c r="C4" s="57" t="s">
        <v>64</v>
      </c>
      <c r="D4" s="58" t="s">
        <v>65</v>
      </c>
      <c r="E4" s="58" t="s">
        <v>66</v>
      </c>
      <c r="F4" s="59"/>
      <c r="G4" s="58"/>
      <c r="H4" s="58">
        <v>1200.0</v>
      </c>
      <c r="I4" s="58" t="s">
        <v>67</v>
      </c>
      <c r="J4" s="58" t="s">
        <v>68</v>
      </c>
      <c r="K4" s="58" t="s">
        <v>69</v>
      </c>
      <c r="L4" s="60">
        <v>8.0</v>
      </c>
      <c r="M4" s="61">
        <v>12.0</v>
      </c>
      <c r="N4" s="62"/>
      <c r="O4" s="59"/>
      <c r="P4" s="63"/>
      <c r="Q4" s="62"/>
      <c r="R4" s="62"/>
      <c r="S4" s="62"/>
      <c r="T4" s="62"/>
      <c r="U4" s="62"/>
      <c r="V4" s="62"/>
      <c r="W4" s="62"/>
      <c r="X4" s="62"/>
      <c r="Y4" s="62"/>
      <c r="Z4" s="64"/>
      <c r="AA4" s="65"/>
      <c r="AB4" s="66"/>
      <c r="AC4" s="65"/>
      <c r="AD4" s="66"/>
      <c r="AE4" s="65"/>
      <c r="AF4" s="67"/>
      <c r="AG4" s="68"/>
      <c r="AH4" s="68"/>
      <c r="AI4" s="68"/>
      <c r="AJ4" s="68"/>
      <c r="AK4" s="68"/>
      <c r="AL4" s="69"/>
      <c r="AM4" s="59"/>
      <c r="AN4" s="58"/>
      <c r="AO4" s="58"/>
      <c r="AP4" s="58"/>
      <c r="AQ4" s="58"/>
      <c r="AR4" s="70" t="s">
        <v>70</v>
      </c>
      <c r="AS4" s="58"/>
      <c r="AT4" s="58"/>
      <c r="AU4" s="58"/>
      <c r="AV4" s="58"/>
      <c r="AW4" s="58"/>
      <c r="AX4" s="58"/>
      <c r="AY4" s="58"/>
      <c r="AZ4" s="58"/>
      <c r="BA4" s="58"/>
      <c r="BB4" s="71"/>
      <c r="BC4" s="71"/>
      <c r="BD4" s="71"/>
      <c r="BE4" s="71"/>
      <c r="BF4" s="71"/>
      <c r="BG4" s="58"/>
      <c r="BH4" s="69"/>
      <c r="BI4" s="69"/>
    </row>
    <row r="5" ht="15.75" customHeight="1">
      <c r="A5" s="55" t="s">
        <v>62</v>
      </c>
      <c r="B5" s="56" t="s">
        <v>63</v>
      </c>
      <c r="C5" s="72" t="s">
        <v>71</v>
      </c>
      <c r="D5" s="58" t="s">
        <v>72</v>
      </c>
      <c r="E5" s="58" t="s">
        <v>73</v>
      </c>
      <c r="F5" s="59"/>
      <c r="G5" s="58"/>
      <c r="H5" s="58">
        <v>360.0</v>
      </c>
      <c r="I5" s="58" t="s">
        <v>74</v>
      </c>
      <c r="J5" s="58" t="s">
        <v>68</v>
      </c>
      <c r="K5" s="58" t="s">
        <v>69</v>
      </c>
      <c r="L5" s="60">
        <v>38.0</v>
      </c>
      <c r="M5" s="61">
        <v>50.0</v>
      </c>
      <c r="N5" s="62"/>
      <c r="O5" s="59"/>
      <c r="P5" s="63"/>
      <c r="Q5" s="62"/>
      <c r="R5" s="62"/>
      <c r="S5" s="62"/>
      <c r="T5" s="62"/>
      <c r="U5" s="62"/>
      <c r="V5" s="62"/>
      <c r="W5" s="62"/>
      <c r="X5" s="62"/>
      <c r="Y5" s="62"/>
      <c r="Z5" s="64"/>
      <c r="AA5" s="65"/>
      <c r="AB5" s="66"/>
      <c r="AC5" s="65"/>
      <c r="AD5" s="66"/>
      <c r="AE5" s="65"/>
      <c r="AF5" s="67"/>
      <c r="AG5" s="68"/>
      <c r="AH5" s="68"/>
      <c r="AI5" s="68"/>
      <c r="AJ5" s="73"/>
      <c r="AK5" s="73"/>
      <c r="AL5" s="58"/>
      <c r="AM5" s="59"/>
      <c r="AN5" s="58"/>
      <c r="AO5" s="58"/>
      <c r="AP5" s="58"/>
      <c r="AQ5" s="58"/>
      <c r="AR5" s="66"/>
      <c r="AS5" s="58"/>
      <c r="AT5" s="58"/>
      <c r="AU5" s="58"/>
      <c r="AV5" s="58"/>
      <c r="AW5" s="58"/>
      <c r="AX5" s="58"/>
      <c r="AY5" s="58"/>
      <c r="AZ5" s="58"/>
      <c r="BA5" s="58"/>
      <c r="BB5" s="71"/>
      <c r="BC5" s="71"/>
      <c r="BD5" s="71"/>
      <c r="BE5" s="71"/>
      <c r="BF5" s="71"/>
      <c r="BG5" s="58"/>
      <c r="BH5" s="69"/>
      <c r="BI5" s="69"/>
    </row>
    <row r="6" ht="15.75" customHeight="1">
      <c r="A6" s="55" t="s">
        <v>62</v>
      </c>
      <c r="B6" s="56" t="s">
        <v>63</v>
      </c>
      <c r="C6" s="72" t="s">
        <v>75</v>
      </c>
      <c r="D6" s="58" t="s">
        <v>72</v>
      </c>
      <c r="E6" s="58" t="s">
        <v>76</v>
      </c>
      <c r="F6" s="59"/>
      <c r="G6" s="58"/>
      <c r="H6" s="58">
        <v>360.0</v>
      </c>
      <c r="I6" s="58" t="s">
        <v>67</v>
      </c>
      <c r="J6" s="58" t="s">
        <v>68</v>
      </c>
      <c r="K6" s="58" t="s">
        <v>69</v>
      </c>
      <c r="L6" s="60">
        <v>30.0</v>
      </c>
      <c r="M6" s="61">
        <v>40.0</v>
      </c>
      <c r="N6" s="62"/>
      <c r="O6" s="59"/>
      <c r="P6" s="63"/>
      <c r="Q6" s="62"/>
      <c r="R6" s="62"/>
      <c r="S6" s="62"/>
      <c r="T6" s="62"/>
      <c r="U6" s="62"/>
      <c r="V6" s="62"/>
      <c r="W6" s="62"/>
      <c r="X6" s="62"/>
      <c r="Y6" s="62"/>
      <c r="Z6" s="64"/>
      <c r="AA6" s="65"/>
      <c r="AB6" s="66"/>
      <c r="AC6" s="65"/>
      <c r="AD6" s="66"/>
      <c r="AE6" s="65"/>
      <c r="AF6" s="67"/>
      <c r="AG6" s="68"/>
      <c r="AH6" s="68"/>
      <c r="AI6" s="68"/>
      <c r="AJ6" s="73"/>
      <c r="AK6" s="73"/>
      <c r="AL6" s="58"/>
      <c r="AM6" s="59"/>
      <c r="AN6" s="58"/>
      <c r="AO6" s="58"/>
      <c r="AP6" s="58"/>
      <c r="AQ6" s="58"/>
      <c r="AR6" s="66"/>
      <c r="AS6" s="58"/>
      <c r="AT6" s="58"/>
      <c r="AU6" s="58"/>
      <c r="AV6" s="58"/>
      <c r="AW6" s="58"/>
      <c r="AX6" s="58"/>
      <c r="AY6" s="58"/>
      <c r="AZ6" s="58"/>
      <c r="BA6" s="58"/>
      <c r="BB6" s="71"/>
      <c r="BC6" s="71"/>
      <c r="BD6" s="71"/>
      <c r="BE6" s="71"/>
      <c r="BF6" s="71"/>
      <c r="BG6" s="58"/>
      <c r="BH6" s="69"/>
      <c r="BI6" s="69"/>
    </row>
    <row r="7" ht="15.75" customHeight="1">
      <c r="A7" s="55" t="s">
        <v>62</v>
      </c>
      <c r="B7" s="56" t="s">
        <v>63</v>
      </c>
      <c r="C7" s="72" t="s">
        <v>77</v>
      </c>
      <c r="D7" s="58" t="s">
        <v>72</v>
      </c>
      <c r="E7" s="58" t="s">
        <v>78</v>
      </c>
      <c r="F7" s="59"/>
      <c r="G7" s="58"/>
      <c r="H7" s="58">
        <v>510.0</v>
      </c>
      <c r="I7" s="58" t="s">
        <v>74</v>
      </c>
      <c r="J7" s="58" t="s">
        <v>68</v>
      </c>
      <c r="K7" s="58" t="s">
        <v>69</v>
      </c>
      <c r="L7" s="60">
        <v>40.0</v>
      </c>
      <c r="M7" s="61">
        <v>50.0</v>
      </c>
      <c r="N7" s="62"/>
      <c r="O7" s="59"/>
      <c r="P7" s="63"/>
      <c r="Q7" s="62"/>
      <c r="R7" s="62"/>
      <c r="S7" s="62"/>
      <c r="T7" s="62"/>
      <c r="U7" s="62"/>
      <c r="V7" s="62"/>
      <c r="W7" s="62"/>
      <c r="X7" s="62"/>
      <c r="Y7" s="62"/>
      <c r="Z7" s="64"/>
      <c r="AA7" s="65"/>
      <c r="AB7" s="66"/>
      <c r="AC7" s="65"/>
      <c r="AD7" s="66"/>
      <c r="AE7" s="65"/>
      <c r="AF7" s="74"/>
      <c r="AG7" s="68"/>
      <c r="AH7" s="68"/>
      <c r="AI7" s="68"/>
      <c r="AJ7" s="73"/>
      <c r="AK7" s="73"/>
      <c r="AL7" s="58"/>
      <c r="AM7" s="59"/>
      <c r="AN7" s="58"/>
      <c r="AO7" s="58"/>
      <c r="AP7" s="58"/>
      <c r="AQ7" s="58"/>
      <c r="AR7" s="66"/>
      <c r="AS7" s="58"/>
      <c r="AT7" s="58"/>
      <c r="AU7" s="58"/>
      <c r="AV7" s="58"/>
      <c r="AW7" s="58"/>
      <c r="AX7" s="58"/>
      <c r="AY7" s="58"/>
      <c r="AZ7" s="58"/>
      <c r="BA7" s="58"/>
      <c r="BB7" s="71"/>
      <c r="BC7" s="71"/>
      <c r="BD7" s="71"/>
      <c r="BE7" s="71"/>
      <c r="BF7" s="71"/>
      <c r="BG7" s="58"/>
      <c r="BH7" s="69"/>
      <c r="BI7" s="69"/>
    </row>
    <row r="8" ht="15.75" customHeight="1">
      <c r="A8" s="55" t="s">
        <v>62</v>
      </c>
      <c r="B8" s="56" t="s">
        <v>63</v>
      </c>
      <c r="C8" s="72" t="s">
        <v>79</v>
      </c>
      <c r="D8" s="58" t="s">
        <v>65</v>
      </c>
      <c r="E8" s="58" t="s">
        <v>80</v>
      </c>
      <c r="F8" s="59" t="s">
        <v>81</v>
      </c>
      <c r="G8" s="58" t="s">
        <v>82</v>
      </c>
      <c r="H8" s="58">
        <v>768.0</v>
      </c>
      <c r="I8" s="58" t="s">
        <v>67</v>
      </c>
      <c r="J8" s="58" t="s">
        <v>68</v>
      </c>
      <c r="K8" s="58" t="s">
        <v>69</v>
      </c>
      <c r="L8" s="60">
        <v>7.0</v>
      </c>
      <c r="M8" s="61">
        <v>12.0</v>
      </c>
      <c r="N8" s="62">
        <v>2022.0</v>
      </c>
      <c r="O8" s="59" t="s">
        <v>83</v>
      </c>
      <c r="P8" s="63" t="s">
        <v>84</v>
      </c>
      <c r="Q8" s="62" t="s">
        <v>85</v>
      </c>
      <c r="R8" s="62" t="s">
        <v>86</v>
      </c>
      <c r="S8" s="62">
        <v>8.0</v>
      </c>
      <c r="T8" s="62">
        <v>1.0</v>
      </c>
      <c r="U8" s="62"/>
      <c r="V8" s="62">
        <v>7.0</v>
      </c>
      <c r="W8" s="62">
        <v>2.0</v>
      </c>
      <c r="X8" s="62">
        <v>0.0</v>
      </c>
      <c r="Y8" s="62">
        <f t="shared" ref="Y8:Y9" si="1">SUM(S8:T8)</f>
        <v>9</v>
      </c>
      <c r="Z8" s="64">
        <f t="shared" ref="Z8:Z9" si="2">S8/Y8</f>
        <v>0.8888888889</v>
      </c>
      <c r="AA8" s="65">
        <v>150.0</v>
      </c>
      <c r="AB8" s="66">
        <v>1.0</v>
      </c>
      <c r="AC8" s="65">
        <v>300.0</v>
      </c>
      <c r="AD8" s="66">
        <v>1.0</v>
      </c>
      <c r="AE8" s="65">
        <v>1300.0</v>
      </c>
      <c r="AF8" s="67">
        <v>24.0</v>
      </c>
      <c r="AG8" s="68" t="str">
        <f t="shared" ref="AG8:AG9" si="3">LARGE(AS8:BA8,1)*((AA8*AB8)+(AC8*AD8)+(AE8*AF8))</f>
        <v>#NUM!</v>
      </c>
      <c r="AH8" s="68">
        <v>160623.75</v>
      </c>
      <c r="AI8" s="68" t="str">
        <f t="shared" ref="AI8:AI9" si="4">AG8*0.2</f>
        <v>#NUM!</v>
      </c>
      <c r="AJ8" s="73" t="str">
        <f t="shared" ref="AJ8:AJ9" si="5">AG8*0.025</f>
        <v>#NUM!</v>
      </c>
      <c r="AK8" s="73" t="str">
        <f t="shared" ref="AK8:AK9" si="6">0.03*AG8</f>
        <v>#NUM!</v>
      </c>
      <c r="AL8" s="69" t="s">
        <v>87</v>
      </c>
      <c r="AM8" s="59">
        <v>2022.0</v>
      </c>
      <c r="AN8" s="58"/>
      <c r="AO8" s="58">
        <f t="shared" ref="AO8:AO9" si="7">AM8+6</f>
        <v>2028</v>
      </c>
      <c r="AP8" s="75" t="s">
        <v>88</v>
      </c>
      <c r="AQ8" s="69" t="s">
        <v>63</v>
      </c>
      <c r="AR8" s="66" t="s">
        <v>70</v>
      </c>
      <c r="AS8" s="58"/>
      <c r="AT8" s="58"/>
      <c r="AU8" s="58"/>
      <c r="AV8" s="58"/>
      <c r="AW8" s="58"/>
      <c r="AX8" s="58"/>
      <c r="AY8" s="58"/>
      <c r="AZ8" s="58"/>
      <c r="BA8" s="58"/>
      <c r="BB8" s="71">
        <v>44817.0</v>
      </c>
      <c r="BC8" s="71">
        <v>44817.0</v>
      </c>
      <c r="BD8" s="71">
        <v>44817.0</v>
      </c>
      <c r="BE8" s="71">
        <v>44817.0</v>
      </c>
      <c r="BF8" s="71">
        <v>44817.0</v>
      </c>
      <c r="BG8" s="58"/>
      <c r="BH8" s="69" t="s">
        <v>89</v>
      </c>
      <c r="BI8" s="69" t="s">
        <v>63</v>
      </c>
    </row>
    <row r="9" ht="15.75" customHeight="1">
      <c r="A9" s="76" t="s">
        <v>90</v>
      </c>
      <c r="B9" s="77" t="s">
        <v>63</v>
      </c>
      <c r="C9" s="78" t="s">
        <v>91</v>
      </c>
      <c r="D9" s="79" t="s">
        <v>92</v>
      </c>
      <c r="E9" s="79" t="s">
        <v>93</v>
      </c>
      <c r="F9" s="80" t="s">
        <v>94</v>
      </c>
      <c r="G9" s="79" t="s">
        <v>95</v>
      </c>
      <c r="H9" s="79">
        <v>360.0</v>
      </c>
      <c r="I9" s="79" t="s">
        <v>74</v>
      </c>
      <c r="J9" s="79" t="s">
        <v>96</v>
      </c>
      <c r="K9" s="79" t="s">
        <v>97</v>
      </c>
      <c r="L9" s="79">
        <v>30.0</v>
      </c>
      <c r="M9" s="79">
        <v>50.0</v>
      </c>
      <c r="N9" s="81">
        <v>2020.0</v>
      </c>
      <c r="O9" s="81" t="s">
        <v>98</v>
      </c>
      <c r="P9" s="82" t="s">
        <v>99</v>
      </c>
      <c r="Q9" s="81" t="s">
        <v>85</v>
      </c>
      <c r="R9" s="81" t="s">
        <v>86</v>
      </c>
      <c r="S9" s="81">
        <v>6.0</v>
      </c>
      <c r="T9" s="81">
        <v>3.0</v>
      </c>
      <c r="U9" s="81"/>
      <c r="V9" s="81">
        <v>3.0</v>
      </c>
      <c r="W9" s="81">
        <v>4.0</v>
      </c>
      <c r="X9" s="81">
        <v>2.0</v>
      </c>
      <c r="Y9" s="81">
        <f t="shared" si="1"/>
        <v>9</v>
      </c>
      <c r="Z9" s="83">
        <f t="shared" si="2"/>
        <v>0.6666666667</v>
      </c>
      <c r="AA9" s="84">
        <v>50.0</v>
      </c>
      <c r="AB9" s="85">
        <v>1.0</v>
      </c>
      <c r="AC9" s="84">
        <v>200.0</v>
      </c>
      <c r="AD9" s="85">
        <v>1.0</v>
      </c>
      <c r="AE9" s="84">
        <v>317.0</v>
      </c>
      <c r="AF9" s="86" t="s">
        <v>100</v>
      </c>
      <c r="AG9" s="87" t="str">
        <f t="shared" si="3"/>
        <v>#NUM!</v>
      </c>
      <c r="AH9" s="87">
        <v>121361.0</v>
      </c>
      <c r="AI9" s="87" t="str">
        <f t="shared" si="4"/>
        <v>#NUM!</v>
      </c>
      <c r="AJ9" s="87" t="str">
        <f t="shared" si="5"/>
        <v>#NUM!</v>
      </c>
      <c r="AK9" s="87" t="str">
        <f t="shared" si="6"/>
        <v>#NUM!</v>
      </c>
      <c r="AL9" s="88" t="s">
        <v>101</v>
      </c>
      <c r="AM9" s="80">
        <v>2020.0</v>
      </c>
      <c r="AN9" s="79"/>
      <c r="AO9" s="79">
        <f t="shared" si="7"/>
        <v>2026</v>
      </c>
      <c r="AP9" s="89" t="s">
        <v>88</v>
      </c>
      <c r="AQ9" s="88" t="s">
        <v>63</v>
      </c>
      <c r="AR9" s="89" t="s">
        <v>102</v>
      </c>
      <c r="AS9" s="79"/>
      <c r="AT9" s="79"/>
      <c r="AU9" s="79"/>
      <c r="AV9" s="79"/>
      <c r="AW9" s="79"/>
      <c r="AX9" s="79"/>
      <c r="AY9" s="79"/>
      <c r="AZ9" s="79"/>
      <c r="BA9" s="79"/>
      <c r="BB9" s="90">
        <v>44817.0</v>
      </c>
      <c r="BC9" s="90">
        <v>44817.0</v>
      </c>
      <c r="BD9" s="90">
        <v>44817.0</v>
      </c>
      <c r="BE9" s="90">
        <v>44817.0</v>
      </c>
      <c r="BF9" s="90">
        <v>44817.0</v>
      </c>
      <c r="BG9" s="79"/>
      <c r="BH9" s="88" t="s">
        <v>103</v>
      </c>
      <c r="BI9" s="88" t="s">
        <v>63</v>
      </c>
    </row>
    <row r="10" ht="15.75" customHeight="1">
      <c r="A10" s="76" t="s">
        <v>90</v>
      </c>
      <c r="B10" s="77" t="s">
        <v>63</v>
      </c>
      <c r="C10" s="78" t="s">
        <v>104</v>
      </c>
      <c r="D10" s="80" t="s">
        <v>105</v>
      </c>
      <c r="E10" s="79" t="s">
        <v>106</v>
      </c>
      <c r="F10" s="80"/>
      <c r="G10" s="79"/>
      <c r="H10" s="79">
        <v>360.0</v>
      </c>
      <c r="I10" s="79" t="s">
        <v>67</v>
      </c>
      <c r="J10" s="79" t="s">
        <v>96</v>
      </c>
      <c r="K10" s="79" t="s">
        <v>97</v>
      </c>
      <c r="L10" s="79">
        <v>31.0</v>
      </c>
      <c r="M10" s="79">
        <v>120.0</v>
      </c>
      <c r="N10" s="81"/>
      <c r="O10" s="81"/>
      <c r="P10" s="82"/>
      <c r="Q10" s="81"/>
      <c r="R10" s="81"/>
      <c r="S10" s="81"/>
      <c r="T10" s="81"/>
      <c r="U10" s="81"/>
      <c r="V10" s="81"/>
      <c r="W10" s="81"/>
      <c r="X10" s="81"/>
      <c r="Y10" s="81"/>
      <c r="Z10" s="83"/>
      <c r="AA10" s="84"/>
      <c r="AB10" s="85"/>
      <c r="AC10" s="84"/>
      <c r="AD10" s="85"/>
      <c r="AE10" s="84"/>
      <c r="AF10" s="86"/>
      <c r="AG10" s="87"/>
      <c r="AH10" s="87"/>
      <c r="AI10" s="87"/>
      <c r="AJ10" s="87"/>
      <c r="AK10" s="87"/>
      <c r="AL10" s="88"/>
      <c r="AM10" s="80"/>
      <c r="AN10" s="79"/>
      <c r="AO10" s="79"/>
      <c r="AP10" s="89"/>
      <c r="AQ10" s="88"/>
      <c r="AR10" s="89"/>
      <c r="AS10" s="79"/>
      <c r="AT10" s="79"/>
      <c r="AU10" s="79"/>
      <c r="AV10" s="79"/>
      <c r="AW10" s="79"/>
      <c r="AX10" s="79"/>
      <c r="AY10" s="79"/>
      <c r="AZ10" s="79"/>
      <c r="BA10" s="79"/>
      <c r="BB10" s="90">
        <v>44817.0</v>
      </c>
      <c r="BC10" s="90">
        <v>44817.0</v>
      </c>
      <c r="BD10" s="90">
        <v>44817.0</v>
      </c>
      <c r="BE10" s="90">
        <v>44817.0</v>
      </c>
      <c r="BF10" s="90">
        <v>44817.0</v>
      </c>
      <c r="BG10" s="79"/>
      <c r="BH10" s="88" t="s">
        <v>103</v>
      </c>
      <c r="BI10" s="88" t="s">
        <v>63</v>
      </c>
    </row>
    <row r="11" ht="15.75" customHeight="1">
      <c r="A11" s="76" t="s">
        <v>90</v>
      </c>
      <c r="B11" s="77" t="s">
        <v>63</v>
      </c>
      <c r="C11" s="78" t="s">
        <v>107</v>
      </c>
      <c r="D11" s="79" t="s">
        <v>108</v>
      </c>
      <c r="E11" s="79" t="s">
        <v>109</v>
      </c>
      <c r="F11" s="80"/>
      <c r="G11" s="79"/>
      <c r="H11" s="79">
        <v>375.0</v>
      </c>
      <c r="I11" s="79" t="s">
        <v>67</v>
      </c>
      <c r="J11" s="79"/>
      <c r="K11" s="79" t="s">
        <v>97</v>
      </c>
      <c r="L11" s="79">
        <v>30.0</v>
      </c>
      <c r="M11" s="79">
        <v>80.0</v>
      </c>
      <c r="N11" s="81"/>
      <c r="O11" s="81"/>
      <c r="P11" s="82"/>
      <c r="Q11" s="81"/>
      <c r="R11" s="81"/>
      <c r="S11" s="81"/>
      <c r="T11" s="81"/>
      <c r="U11" s="81"/>
      <c r="V11" s="81"/>
      <c r="W11" s="81"/>
      <c r="X11" s="81"/>
      <c r="Y11" s="81"/>
      <c r="Z11" s="83"/>
      <c r="AA11" s="84"/>
      <c r="AB11" s="85"/>
      <c r="AC11" s="84"/>
      <c r="AD11" s="85"/>
      <c r="AE11" s="84"/>
      <c r="AF11" s="86"/>
      <c r="AG11" s="87"/>
      <c r="AH11" s="87"/>
      <c r="AI11" s="87"/>
      <c r="AJ11" s="87"/>
      <c r="AK11" s="87"/>
      <c r="AL11" s="88"/>
      <c r="AM11" s="80"/>
      <c r="AN11" s="79"/>
      <c r="AO11" s="79"/>
      <c r="AP11" s="89"/>
      <c r="AQ11" s="88"/>
      <c r="AR11" s="89"/>
      <c r="AS11" s="79"/>
      <c r="AT11" s="79"/>
      <c r="AU11" s="79"/>
      <c r="AV11" s="79"/>
      <c r="AW11" s="79"/>
      <c r="AX11" s="79"/>
      <c r="AY11" s="79"/>
      <c r="AZ11" s="79"/>
      <c r="BA11" s="79"/>
      <c r="BB11" s="90">
        <v>44817.0</v>
      </c>
      <c r="BC11" s="90">
        <v>44817.0</v>
      </c>
      <c r="BD11" s="90">
        <v>44817.0</v>
      </c>
      <c r="BE11" s="90">
        <v>44817.0</v>
      </c>
      <c r="BF11" s="90">
        <v>44817.0</v>
      </c>
      <c r="BG11" s="79"/>
      <c r="BH11" s="88" t="s">
        <v>103</v>
      </c>
      <c r="BI11" s="88" t="s">
        <v>63</v>
      </c>
    </row>
    <row r="12" ht="15.75" customHeight="1">
      <c r="A12" s="76" t="s">
        <v>90</v>
      </c>
      <c r="B12" s="77" t="s">
        <v>63</v>
      </c>
      <c r="C12" s="78" t="s">
        <v>110</v>
      </c>
      <c r="D12" s="80" t="s">
        <v>111</v>
      </c>
      <c r="E12" s="79" t="s">
        <v>93</v>
      </c>
      <c r="F12" s="80"/>
      <c r="G12" s="79"/>
      <c r="H12" s="79">
        <v>360.0</v>
      </c>
      <c r="I12" s="79" t="s">
        <v>67</v>
      </c>
      <c r="J12" s="79" t="s">
        <v>96</v>
      </c>
      <c r="K12" s="79" t="s">
        <v>97</v>
      </c>
      <c r="L12" s="79">
        <v>30.0</v>
      </c>
      <c r="M12" s="79">
        <v>50.0</v>
      </c>
      <c r="N12" s="81"/>
      <c r="O12" s="81"/>
      <c r="P12" s="82"/>
      <c r="Q12" s="81"/>
      <c r="R12" s="81"/>
      <c r="S12" s="81"/>
      <c r="T12" s="81"/>
      <c r="U12" s="81"/>
      <c r="V12" s="81"/>
      <c r="W12" s="81"/>
      <c r="X12" s="81"/>
      <c r="Y12" s="81"/>
      <c r="Z12" s="83"/>
      <c r="AA12" s="84"/>
      <c r="AB12" s="85"/>
      <c r="AC12" s="84"/>
      <c r="AD12" s="85"/>
      <c r="AE12" s="84"/>
      <c r="AF12" s="86"/>
      <c r="AG12" s="87"/>
      <c r="AH12" s="87"/>
      <c r="AI12" s="87"/>
      <c r="AJ12" s="87"/>
      <c r="AK12" s="87"/>
      <c r="AL12" s="88"/>
      <c r="AM12" s="80"/>
      <c r="AN12" s="79"/>
      <c r="AO12" s="79"/>
      <c r="AP12" s="89"/>
      <c r="AQ12" s="88"/>
      <c r="AR12" s="89"/>
      <c r="AS12" s="79"/>
      <c r="AT12" s="79"/>
      <c r="AU12" s="79"/>
      <c r="AV12" s="79"/>
      <c r="AW12" s="79"/>
      <c r="AX12" s="79"/>
      <c r="AY12" s="79"/>
      <c r="AZ12" s="79"/>
      <c r="BA12" s="79"/>
      <c r="BB12" s="90">
        <v>44817.0</v>
      </c>
      <c r="BC12" s="90">
        <v>44817.0</v>
      </c>
      <c r="BD12" s="90">
        <v>44817.0</v>
      </c>
      <c r="BE12" s="90">
        <v>44817.0</v>
      </c>
      <c r="BF12" s="90">
        <v>44817.0</v>
      </c>
      <c r="BG12" s="79"/>
      <c r="BH12" s="88" t="s">
        <v>103</v>
      </c>
      <c r="BI12" s="88" t="s">
        <v>63</v>
      </c>
    </row>
    <row r="13" ht="15.75" customHeight="1">
      <c r="A13" s="91" t="s">
        <v>112</v>
      </c>
      <c r="B13" s="92" t="s">
        <v>63</v>
      </c>
      <c r="C13" s="93" t="s">
        <v>113</v>
      </c>
      <c r="D13" s="94" t="s">
        <v>65</v>
      </c>
      <c r="E13" s="94" t="s">
        <v>114</v>
      </c>
      <c r="F13" s="94" t="s">
        <v>115</v>
      </c>
      <c r="G13" s="94" t="s">
        <v>116</v>
      </c>
      <c r="H13" s="94">
        <v>375.0</v>
      </c>
      <c r="I13" s="94" t="s">
        <v>67</v>
      </c>
      <c r="J13" s="94" t="s">
        <v>68</v>
      </c>
      <c r="K13" s="94" t="s">
        <v>69</v>
      </c>
      <c r="L13" s="95"/>
      <c r="M13" s="96">
        <v>35.0</v>
      </c>
      <c r="N13" s="97">
        <v>2015.0</v>
      </c>
      <c r="O13" s="98" t="s">
        <v>117</v>
      </c>
      <c r="P13" s="99" t="s">
        <v>118</v>
      </c>
      <c r="Q13" s="97" t="s">
        <v>85</v>
      </c>
      <c r="R13" s="97" t="s">
        <v>86</v>
      </c>
      <c r="S13" s="97">
        <v>5.0</v>
      </c>
      <c r="T13" s="97">
        <v>0.0</v>
      </c>
      <c r="U13" s="97"/>
      <c r="V13" s="97">
        <v>5.0</v>
      </c>
      <c r="W13" s="97">
        <v>0.0</v>
      </c>
      <c r="X13" s="97">
        <v>0.0</v>
      </c>
      <c r="Y13" s="97">
        <f>SUM(S13:T13)</f>
        <v>5</v>
      </c>
      <c r="Z13" s="64">
        <f t="shared" ref="Z13:Z39" si="8">S13/Y13</f>
        <v>1</v>
      </c>
      <c r="AA13" s="97"/>
      <c r="AB13" s="97"/>
      <c r="AC13" s="97"/>
      <c r="AD13" s="97"/>
      <c r="AE13" s="97"/>
      <c r="AF13" s="86" t="str">
        <f t="shared" ref="AF13:AF17" si="9">IF(#REF!&gt;TODAY(),DATEDIF(#REF!,TODAY(),"M")+1,DATEDIF(#REF!,#REF!,"M")+1)</f>
        <v>#REF!</v>
      </c>
      <c r="AG13" s="100" t="str">
        <f t="shared" ref="AG13:AG14" si="10">LARGE(AS13:BA13,1)*((AA13*AB13)+(AC13*AD13)+(AE13*AF13))</f>
        <v>#NUM!</v>
      </c>
      <c r="AH13" s="97"/>
      <c r="AI13" s="100">
        <f t="shared" ref="AI13:AI14" si="11">AA13*0.2</f>
        <v>0</v>
      </c>
      <c r="AJ13" s="68" t="str">
        <f t="shared" ref="AJ13:AJ39" si="12">AG13*0.025</f>
        <v>#NUM!</v>
      </c>
      <c r="AK13" s="68" t="str">
        <f t="shared" ref="AK13:AK23" si="13">0.03*AG13</f>
        <v>#NUM!</v>
      </c>
      <c r="AL13" s="101" t="s">
        <v>119</v>
      </c>
      <c r="AM13" s="98">
        <v>2015.0</v>
      </c>
      <c r="AN13" s="98" t="s">
        <v>120</v>
      </c>
      <c r="AO13" s="94">
        <f>AM13+6</f>
        <v>2021</v>
      </c>
      <c r="AP13" s="89" t="s">
        <v>88</v>
      </c>
      <c r="AQ13" s="101" t="s">
        <v>63</v>
      </c>
      <c r="AR13" s="102" t="s">
        <v>121</v>
      </c>
      <c r="AS13" s="94"/>
      <c r="AT13" s="94"/>
      <c r="AU13" s="94"/>
      <c r="AV13" s="94"/>
      <c r="AW13" s="94"/>
      <c r="AX13" s="94"/>
      <c r="AY13" s="94"/>
      <c r="AZ13" s="94"/>
      <c r="BA13" s="94"/>
      <c r="BB13" s="103">
        <v>44817.0</v>
      </c>
      <c r="BC13" s="103">
        <v>44817.0</v>
      </c>
      <c r="BD13" s="103">
        <v>44817.0</v>
      </c>
      <c r="BE13" s="103">
        <v>44817.0</v>
      </c>
      <c r="BF13" s="103">
        <v>44817.0</v>
      </c>
      <c r="BG13" s="94"/>
      <c r="BH13" s="101" t="s">
        <v>122</v>
      </c>
      <c r="BI13" s="101" t="s">
        <v>63</v>
      </c>
    </row>
    <row r="14" ht="15.75" customHeight="1">
      <c r="A14" s="91" t="s">
        <v>112</v>
      </c>
      <c r="B14" s="92" t="s">
        <v>63</v>
      </c>
      <c r="C14" s="93" t="s">
        <v>123</v>
      </c>
      <c r="D14" s="94" t="s">
        <v>65</v>
      </c>
      <c r="E14" s="94" t="s">
        <v>124</v>
      </c>
      <c r="F14" s="94" t="s">
        <v>125</v>
      </c>
      <c r="G14" s="94" t="s">
        <v>126</v>
      </c>
      <c r="H14" s="94">
        <v>360.0</v>
      </c>
      <c r="I14" s="94" t="s">
        <v>67</v>
      </c>
      <c r="J14" s="94" t="s">
        <v>68</v>
      </c>
      <c r="K14" s="94" t="s">
        <v>69</v>
      </c>
      <c r="L14" s="94">
        <v>25.0</v>
      </c>
      <c r="M14" s="96">
        <v>50.0</v>
      </c>
      <c r="N14" s="97">
        <v>2010.0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>
        <f>SUM(S14:W14)</f>
        <v>0</v>
      </c>
      <c r="Z14" s="64" t="str">
        <f t="shared" si="8"/>
        <v>#DIV/0!</v>
      </c>
      <c r="AA14" s="97"/>
      <c r="AB14" s="97"/>
      <c r="AC14" s="97"/>
      <c r="AD14" s="97"/>
      <c r="AE14" s="97"/>
      <c r="AF14" s="86" t="str">
        <f t="shared" si="9"/>
        <v>#REF!</v>
      </c>
      <c r="AG14" s="100" t="str">
        <f t="shared" si="10"/>
        <v>#NUM!</v>
      </c>
      <c r="AH14" s="97"/>
      <c r="AI14" s="100">
        <f t="shared" si="11"/>
        <v>0</v>
      </c>
      <c r="AJ14" s="68" t="str">
        <f t="shared" si="12"/>
        <v>#NUM!</v>
      </c>
      <c r="AK14" s="68" t="str">
        <f t="shared" si="13"/>
        <v>#NUM!</v>
      </c>
      <c r="AL14" s="101" t="s">
        <v>127</v>
      </c>
      <c r="AM14" s="98">
        <v>2010.0</v>
      </c>
      <c r="AN14" s="101" t="s">
        <v>128</v>
      </c>
      <c r="AO14" s="94">
        <v>2021.0</v>
      </c>
      <c r="AP14" s="89" t="s">
        <v>88</v>
      </c>
      <c r="AQ14" s="101" t="s">
        <v>63</v>
      </c>
      <c r="AR14" s="102" t="s">
        <v>121</v>
      </c>
      <c r="AS14" s="94"/>
      <c r="AT14" s="94"/>
      <c r="AU14" s="94"/>
      <c r="AV14" s="94"/>
      <c r="AW14" s="94"/>
      <c r="AX14" s="94"/>
      <c r="AY14" s="94"/>
      <c r="AZ14" s="94"/>
      <c r="BA14" s="94"/>
      <c r="BB14" s="103">
        <v>44817.0</v>
      </c>
      <c r="BC14" s="103">
        <v>44817.0</v>
      </c>
      <c r="BD14" s="103">
        <v>44817.0</v>
      </c>
      <c r="BE14" s="103">
        <v>44817.0</v>
      </c>
      <c r="BF14" s="103">
        <v>44817.0</v>
      </c>
      <c r="BG14" s="94"/>
      <c r="BH14" s="94"/>
      <c r="BI14" s="94" t="s">
        <v>129</v>
      </c>
    </row>
    <row r="15" ht="15.75" customHeight="1">
      <c r="A15" s="91" t="s">
        <v>112</v>
      </c>
      <c r="B15" s="92" t="s">
        <v>63</v>
      </c>
      <c r="C15" s="93" t="s">
        <v>130</v>
      </c>
      <c r="D15" s="94" t="s">
        <v>65</v>
      </c>
      <c r="E15" s="94" t="s">
        <v>131</v>
      </c>
      <c r="F15" s="94" t="s">
        <v>132</v>
      </c>
      <c r="G15" s="94" t="s">
        <v>133</v>
      </c>
      <c r="H15" s="94">
        <v>375.0</v>
      </c>
      <c r="I15" s="94" t="s">
        <v>67</v>
      </c>
      <c r="J15" s="94" t="s">
        <v>68</v>
      </c>
      <c r="K15" s="104" t="s">
        <v>69</v>
      </c>
      <c r="L15" s="94">
        <v>25.0</v>
      </c>
      <c r="M15" s="96">
        <v>50.0</v>
      </c>
      <c r="N15" s="97">
        <v>2015.0</v>
      </c>
      <c r="O15" s="94" t="s">
        <v>134</v>
      </c>
      <c r="P15" s="99" t="s">
        <v>135</v>
      </c>
      <c r="Q15" s="97" t="s">
        <v>136</v>
      </c>
      <c r="R15" s="97" t="s">
        <v>137</v>
      </c>
      <c r="S15" s="97">
        <v>6.0</v>
      </c>
      <c r="T15" s="97">
        <v>2.0</v>
      </c>
      <c r="U15" s="97"/>
      <c r="V15" s="97">
        <v>7.0</v>
      </c>
      <c r="W15" s="97">
        <v>0.0</v>
      </c>
      <c r="X15" s="97">
        <v>1.0</v>
      </c>
      <c r="Y15" s="97">
        <f t="shared" ref="Y15:Y18" si="14">SUM(S15:T15)</f>
        <v>8</v>
      </c>
      <c r="Z15" s="64">
        <f t="shared" si="8"/>
        <v>0.75</v>
      </c>
      <c r="AA15" s="100">
        <v>40.0</v>
      </c>
      <c r="AB15" s="97">
        <v>1.0</v>
      </c>
      <c r="AC15" s="100">
        <v>330.0</v>
      </c>
      <c r="AD15" s="97">
        <v>1.0</v>
      </c>
      <c r="AE15" s="100">
        <v>330.0</v>
      </c>
      <c r="AF15" s="86" t="str">
        <f t="shared" si="9"/>
        <v>#REF!</v>
      </c>
      <c r="AG15" s="100">
        <v>209100.0</v>
      </c>
      <c r="AH15" s="100">
        <v>140904.0</v>
      </c>
      <c r="AI15" s="100">
        <f t="shared" ref="AI15:AI20" si="15">AG15*0.2</f>
        <v>41820</v>
      </c>
      <c r="AJ15" s="68">
        <f t="shared" si="12"/>
        <v>5227.5</v>
      </c>
      <c r="AK15" s="68">
        <f t="shared" si="13"/>
        <v>6273</v>
      </c>
      <c r="AL15" s="101" t="s">
        <v>138</v>
      </c>
      <c r="AM15" s="98">
        <v>2015.0</v>
      </c>
      <c r="AN15" s="101" t="s">
        <v>139</v>
      </c>
      <c r="AO15" s="94">
        <f>AM15+5</f>
        <v>2020</v>
      </c>
      <c r="AP15" s="89" t="s">
        <v>88</v>
      </c>
      <c r="AQ15" s="101" t="s">
        <v>63</v>
      </c>
      <c r="AR15" s="102" t="s">
        <v>121</v>
      </c>
      <c r="AS15" s="94"/>
      <c r="AT15" s="94"/>
      <c r="AU15" s="94"/>
      <c r="AV15" s="94"/>
      <c r="AW15" s="94"/>
      <c r="AX15" s="94"/>
      <c r="AY15" s="94"/>
      <c r="AZ15" s="94"/>
      <c r="BA15" s="94"/>
      <c r="BB15" s="103">
        <v>44817.0</v>
      </c>
      <c r="BC15" s="103">
        <v>44817.0</v>
      </c>
      <c r="BD15" s="103">
        <v>44817.0</v>
      </c>
      <c r="BE15" s="103">
        <v>44817.0</v>
      </c>
      <c r="BF15" s="103">
        <v>44817.0</v>
      </c>
      <c r="BG15" s="104"/>
      <c r="BH15" s="104"/>
      <c r="BI15" s="104" t="s">
        <v>129</v>
      </c>
    </row>
    <row r="16" ht="15.75" customHeight="1">
      <c r="A16" s="91" t="s">
        <v>112</v>
      </c>
      <c r="B16" s="92" t="s">
        <v>63</v>
      </c>
      <c r="C16" s="93" t="s">
        <v>140</v>
      </c>
      <c r="D16" s="94" t="s">
        <v>65</v>
      </c>
      <c r="E16" s="94" t="s">
        <v>141</v>
      </c>
      <c r="F16" s="94" t="s">
        <v>142</v>
      </c>
      <c r="G16" s="94" t="s">
        <v>143</v>
      </c>
      <c r="H16" s="94">
        <v>360.0</v>
      </c>
      <c r="I16" s="94" t="s">
        <v>67</v>
      </c>
      <c r="J16" s="94" t="s">
        <v>68</v>
      </c>
      <c r="K16" s="104" t="s">
        <v>69</v>
      </c>
      <c r="L16" s="94">
        <v>25.0</v>
      </c>
      <c r="M16" s="96">
        <v>50.0</v>
      </c>
      <c r="N16" s="97">
        <v>2010.0</v>
      </c>
      <c r="O16" s="94" t="s">
        <v>144</v>
      </c>
      <c r="P16" s="99" t="s">
        <v>145</v>
      </c>
      <c r="Q16" s="97" t="s">
        <v>136</v>
      </c>
      <c r="R16" s="97" t="s">
        <v>137</v>
      </c>
      <c r="S16" s="97">
        <v>10.0</v>
      </c>
      <c r="T16" s="97">
        <v>5.0</v>
      </c>
      <c r="U16" s="97"/>
      <c r="V16" s="97">
        <v>11.0</v>
      </c>
      <c r="W16" s="97">
        <v>3.0</v>
      </c>
      <c r="X16" s="97">
        <v>0.0</v>
      </c>
      <c r="Y16" s="97">
        <f t="shared" si="14"/>
        <v>15</v>
      </c>
      <c r="Z16" s="64">
        <f t="shared" si="8"/>
        <v>0.6666666667</v>
      </c>
      <c r="AA16" s="100">
        <v>40.0</v>
      </c>
      <c r="AB16" s="97">
        <v>1.0</v>
      </c>
      <c r="AC16" s="100">
        <v>330.0</v>
      </c>
      <c r="AD16" s="97">
        <v>1.0</v>
      </c>
      <c r="AE16" s="100">
        <v>330.0</v>
      </c>
      <c r="AF16" s="86" t="str">
        <f t="shared" si="9"/>
        <v>#REF!</v>
      </c>
      <c r="AG16" s="100">
        <v>178200.0</v>
      </c>
      <c r="AH16" s="100">
        <v>131490.0</v>
      </c>
      <c r="AI16" s="100">
        <f t="shared" si="15"/>
        <v>35640</v>
      </c>
      <c r="AJ16" s="68">
        <f t="shared" si="12"/>
        <v>4455</v>
      </c>
      <c r="AK16" s="68">
        <f t="shared" si="13"/>
        <v>5346</v>
      </c>
      <c r="AL16" s="101" t="s">
        <v>146</v>
      </c>
      <c r="AM16" s="98">
        <v>2010.0</v>
      </c>
      <c r="AN16" s="101" t="s">
        <v>147</v>
      </c>
      <c r="AO16" s="94">
        <f>AM16+10</f>
        <v>2020</v>
      </c>
      <c r="AP16" s="89" t="s">
        <v>88</v>
      </c>
      <c r="AQ16" s="101" t="s">
        <v>63</v>
      </c>
      <c r="AR16" s="102" t="s">
        <v>121</v>
      </c>
      <c r="AS16" s="94"/>
      <c r="AT16" s="94"/>
      <c r="AU16" s="94"/>
      <c r="AV16" s="94"/>
      <c r="AW16" s="94"/>
      <c r="AX16" s="94"/>
      <c r="AY16" s="94"/>
      <c r="AZ16" s="94"/>
      <c r="BA16" s="94"/>
      <c r="BB16" s="103">
        <v>44817.0</v>
      </c>
      <c r="BC16" s="103">
        <v>44817.0</v>
      </c>
      <c r="BD16" s="103">
        <v>44817.0</v>
      </c>
      <c r="BE16" s="103">
        <v>44817.0</v>
      </c>
      <c r="BF16" s="103">
        <v>44817.0</v>
      </c>
      <c r="BG16" s="104"/>
      <c r="BH16" s="104"/>
      <c r="BI16" s="104" t="s">
        <v>129</v>
      </c>
    </row>
    <row r="17" ht="15.75" customHeight="1">
      <c r="A17" s="91" t="s">
        <v>112</v>
      </c>
      <c r="B17" s="92" t="s">
        <v>63</v>
      </c>
      <c r="C17" s="93" t="s">
        <v>148</v>
      </c>
      <c r="D17" s="94" t="s">
        <v>65</v>
      </c>
      <c r="E17" s="94" t="s">
        <v>149</v>
      </c>
      <c r="F17" s="98" t="s">
        <v>150</v>
      </c>
      <c r="G17" s="94" t="s">
        <v>151</v>
      </c>
      <c r="H17" s="94">
        <v>360.0</v>
      </c>
      <c r="I17" s="94" t="s">
        <v>67</v>
      </c>
      <c r="J17" s="94" t="s">
        <v>68</v>
      </c>
      <c r="K17" s="104" t="s">
        <v>69</v>
      </c>
      <c r="L17" s="94">
        <v>25.0</v>
      </c>
      <c r="M17" s="96">
        <v>50.0</v>
      </c>
      <c r="N17" s="97">
        <v>2019.0</v>
      </c>
      <c r="O17" s="98" t="s">
        <v>152</v>
      </c>
      <c r="P17" s="99" t="s">
        <v>153</v>
      </c>
      <c r="Q17" s="97" t="s">
        <v>137</v>
      </c>
      <c r="R17" s="97" t="s">
        <v>137</v>
      </c>
      <c r="S17" s="97">
        <v>9.0</v>
      </c>
      <c r="T17" s="97">
        <v>4.0</v>
      </c>
      <c r="U17" s="97"/>
      <c r="V17" s="97">
        <v>11.0</v>
      </c>
      <c r="W17" s="97">
        <v>2.0</v>
      </c>
      <c r="X17" s="97">
        <v>0.0</v>
      </c>
      <c r="Y17" s="97">
        <f t="shared" si="14"/>
        <v>13</v>
      </c>
      <c r="Z17" s="64">
        <f t="shared" si="8"/>
        <v>0.6923076923</v>
      </c>
      <c r="AA17" s="100">
        <v>40.0</v>
      </c>
      <c r="AB17" s="97">
        <v>1.0</v>
      </c>
      <c r="AC17" s="100">
        <v>330.0</v>
      </c>
      <c r="AD17" s="97">
        <v>1.0</v>
      </c>
      <c r="AE17" s="100">
        <v>330.0</v>
      </c>
      <c r="AF17" s="86" t="str">
        <f t="shared" si="9"/>
        <v>#REF!</v>
      </c>
      <c r="AG17" s="100">
        <v>209100.0</v>
      </c>
      <c r="AH17" s="100">
        <v>146772.0</v>
      </c>
      <c r="AI17" s="100">
        <f t="shared" si="15"/>
        <v>41820</v>
      </c>
      <c r="AJ17" s="68">
        <f t="shared" si="12"/>
        <v>5227.5</v>
      </c>
      <c r="AK17" s="68">
        <f t="shared" si="13"/>
        <v>6273</v>
      </c>
      <c r="AL17" s="101" t="s">
        <v>154</v>
      </c>
      <c r="AM17" s="98">
        <v>2019.0</v>
      </c>
      <c r="AN17" s="98" t="s">
        <v>155</v>
      </c>
      <c r="AO17" s="94">
        <f t="shared" ref="AO17:AO18" si="16">AM17+6</f>
        <v>2025</v>
      </c>
      <c r="AP17" s="102" t="s">
        <v>156</v>
      </c>
      <c r="AQ17" s="94"/>
      <c r="AR17" s="102" t="s">
        <v>70</v>
      </c>
      <c r="AS17" s="94"/>
      <c r="AT17" s="94"/>
      <c r="AU17" s="94"/>
      <c r="AV17" s="94"/>
      <c r="AW17" s="94"/>
      <c r="AX17" s="94"/>
      <c r="AY17" s="94"/>
      <c r="AZ17" s="94"/>
      <c r="BA17" s="94"/>
      <c r="BB17" s="103">
        <v>44817.0</v>
      </c>
      <c r="BC17" s="103">
        <v>44817.0</v>
      </c>
      <c r="BD17" s="103">
        <v>44817.0</v>
      </c>
      <c r="BE17" s="103">
        <v>44817.0</v>
      </c>
      <c r="BF17" s="103">
        <v>44817.0</v>
      </c>
      <c r="BG17" s="104"/>
      <c r="BH17" s="104"/>
      <c r="BI17" s="104" t="s">
        <v>129</v>
      </c>
    </row>
    <row r="18" ht="15.75" customHeight="1">
      <c r="A18" s="91" t="s">
        <v>112</v>
      </c>
      <c r="B18" s="92" t="s">
        <v>63</v>
      </c>
      <c r="C18" s="93" t="s">
        <v>157</v>
      </c>
      <c r="D18" s="94" t="s">
        <v>65</v>
      </c>
      <c r="E18" s="94" t="s">
        <v>114</v>
      </c>
      <c r="F18" s="94" t="s">
        <v>115</v>
      </c>
      <c r="G18" s="94" t="s">
        <v>116</v>
      </c>
      <c r="H18" s="94">
        <v>360.0</v>
      </c>
      <c r="I18" s="94" t="s">
        <v>67</v>
      </c>
      <c r="J18" s="94" t="s">
        <v>68</v>
      </c>
      <c r="K18" s="104" t="s">
        <v>69</v>
      </c>
      <c r="L18" s="94">
        <v>25.0</v>
      </c>
      <c r="M18" s="96">
        <v>50.0</v>
      </c>
      <c r="N18" s="97">
        <v>2020.0</v>
      </c>
      <c r="O18" s="98" t="s">
        <v>158</v>
      </c>
      <c r="P18" s="99" t="s">
        <v>118</v>
      </c>
      <c r="Q18" s="97" t="s">
        <v>137</v>
      </c>
      <c r="R18" s="97" t="s">
        <v>137</v>
      </c>
      <c r="S18" s="97">
        <v>6.0</v>
      </c>
      <c r="T18" s="97">
        <v>2.0</v>
      </c>
      <c r="U18" s="97"/>
      <c r="V18" s="97">
        <v>8.0</v>
      </c>
      <c r="W18" s="97">
        <v>0.0</v>
      </c>
      <c r="X18" s="97">
        <v>0.0</v>
      </c>
      <c r="Y18" s="97">
        <f t="shared" si="14"/>
        <v>8</v>
      </c>
      <c r="Z18" s="64">
        <f t="shared" si="8"/>
        <v>0.75</v>
      </c>
      <c r="AA18" s="100">
        <v>40.0</v>
      </c>
      <c r="AB18" s="97">
        <v>1.0</v>
      </c>
      <c r="AC18" s="100">
        <v>330.0</v>
      </c>
      <c r="AD18" s="97">
        <v>1.0</v>
      </c>
      <c r="AE18" s="100">
        <v>330.0</v>
      </c>
      <c r="AF18" s="86" t="s">
        <v>159</v>
      </c>
      <c r="AG18" s="100">
        <v>178200.0</v>
      </c>
      <c r="AH18" s="100">
        <v>131760.0</v>
      </c>
      <c r="AI18" s="100">
        <f t="shared" si="15"/>
        <v>35640</v>
      </c>
      <c r="AJ18" s="68">
        <f t="shared" si="12"/>
        <v>4455</v>
      </c>
      <c r="AK18" s="68">
        <f t="shared" si="13"/>
        <v>5346</v>
      </c>
      <c r="AL18" s="101" t="s">
        <v>160</v>
      </c>
      <c r="AM18" s="98">
        <v>2020.0</v>
      </c>
      <c r="AN18" s="98" t="s">
        <v>155</v>
      </c>
      <c r="AO18" s="94">
        <f t="shared" si="16"/>
        <v>2026</v>
      </c>
      <c r="AP18" s="89" t="s">
        <v>88</v>
      </c>
      <c r="AQ18" s="101" t="s">
        <v>63</v>
      </c>
      <c r="AR18" s="102" t="s">
        <v>121</v>
      </c>
      <c r="AS18" s="94"/>
      <c r="AT18" s="94"/>
      <c r="AU18" s="94"/>
      <c r="AV18" s="94"/>
      <c r="AW18" s="94"/>
      <c r="AX18" s="94"/>
      <c r="AY18" s="94"/>
      <c r="AZ18" s="94"/>
      <c r="BA18" s="94"/>
      <c r="BB18" s="103">
        <v>44817.0</v>
      </c>
      <c r="BC18" s="103">
        <v>44817.0</v>
      </c>
      <c r="BD18" s="103">
        <v>44817.0</v>
      </c>
      <c r="BE18" s="103">
        <v>44817.0</v>
      </c>
      <c r="BF18" s="103">
        <v>44817.0</v>
      </c>
      <c r="BG18" s="104"/>
      <c r="BH18" s="104"/>
      <c r="BI18" s="104" t="s">
        <v>129</v>
      </c>
    </row>
    <row r="19" ht="15.75" customHeight="1">
      <c r="A19" s="91" t="s">
        <v>112</v>
      </c>
      <c r="B19" s="92" t="s">
        <v>63</v>
      </c>
      <c r="C19" s="93" t="s">
        <v>161</v>
      </c>
      <c r="D19" s="94" t="s">
        <v>65</v>
      </c>
      <c r="E19" s="94" t="s">
        <v>162</v>
      </c>
      <c r="F19" s="98" t="s">
        <v>163</v>
      </c>
      <c r="G19" s="94" t="s">
        <v>164</v>
      </c>
      <c r="H19" s="94">
        <v>360.0</v>
      </c>
      <c r="I19" s="94" t="s">
        <v>67</v>
      </c>
      <c r="J19" s="94" t="s">
        <v>68</v>
      </c>
      <c r="K19" s="104" t="s">
        <v>69</v>
      </c>
      <c r="L19" s="94">
        <v>25.0</v>
      </c>
      <c r="M19" s="96">
        <v>40.0</v>
      </c>
      <c r="N19" s="97">
        <v>2011.0</v>
      </c>
      <c r="O19" s="98" t="s">
        <v>165</v>
      </c>
      <c r="P19" s="99" t="s">
        <v>166</v>
      </c>
      <c r="Q19" s="97" t="s">
        <v>137</v>
      </c>
      <c r="R19" s="97" t="s">
        <v>137</v>
      </c>
      <c r="S19" s="97">
        <v>6.0</v>
      </c>
      <c r="T19" s="97">
        <v>5.0</v>
      </c>
      <c r="U19" s="97"/>
      <c r="V19" s="97">
        <v>11.0</v>
      </c>
      <c r="W19" s="97">
        <v>0.0</v>
      </c>
      <c r="X19" s="97">
        <v>0.0</v>
      </c>
      <c r="Y19" s="97">
        <v>11.0</v>
      </c>
      <c r="Z19" s="64">
        <f t="shared" si="8"/>
        <v>0.5454545455</v>
      </c>
      <c r="AA19" s="100">
        <v>40.0</v>
      </c>
      <c r="AB19" s="97">
        <v>1.0</v>
      </c>
      <c r="AC19" s="100">
        <v>330.0</v>
      </c>
      <c r="AD19" s="97">
        <v>1.0</v>
      </c>
      <c r="AE19" s="100">
        <v>330.0</v>
      </c>
      <c r="AF19" s="86" t="s">
        <v>159</v>
      </c>
      <c r="AG19" s="100">
        <v>179400.0</v>
      </c>
      <c r="AH19" s="100">
        <v>131715.0</v>
      </c>
      <c r="AI19" s="100">
        <f t="shared" si="15"/>
        <v>35880</v>
      </c>
      <c r="AJ19" s="68">
        <f t="shared" si="12"/>
        <v>4485</v>
      </c>
      <c r="AK19" s="68">
        <f t="shared" si="13"/>
        <v>5382</v>
      </c>
      <c r="AL19" s="101" t="s">
        <v>167</v>
      </c>
      <c r="AM19" s="98">
        <v>2011.0</v>
      </c>
      <c r="AN19" s="101" t="s">
        <v>168</v>
      </c>
      <c r="AO19" s="94">
        <v>2021.0</v>
      </c>
      <c r="AP19" s="89" t="s">
        <v>88</v>
      </c>
      <c r="AQ19" s="101" t="s">
        <v>63</v>
      </c>
      <c r="AR19" s="102" t="s">
        <v>121</v>
      </c>
      <c r="AS19" s="94"/>
      <c r="AT19" s="94"/>
      <c r="AU19" s="94"/>
      <c r="AV19" s="94"/>
      <c r="AW19" s="94"/>
      <c r="AX19" s="94"/>
      <c r="AY19" s="94"/>
      <c r="AZ19" s="94"/>
      <c r="BA19" s="94"/>
      <c r="BB19" s="103">
        <v>44817.0</v>
      </c>
      <c r="BC19" s="103">
        <v>44817.0</v>
      </c>
      <c r="BD19" s="103">
        <v>44817.0</v>
      </c>
      <c r="BE19" s="103">
        <v>44817.0</v>
      </c>
      <c r="BF19" s="103">
        <v>44817.0</v>
      </c>
      <c r="BG19" s="104"/>
      <c r="BH19" s="104"/>
      <c r="BI19" s="104"/>
    </row>
    <row r="20" ht="15.75" customHeight="1">
      <c r="A20" s="91" t="s">
        <v>112</v>
      </c>
      <c r="B20" s="92" t="s">
        <v>63</v>
      </c>
      <c r="C20" s="93" t="s">
        <v>169</v>
      </c>
      <c r="D20" s="94" t="s">
        <v>65</v>
      </c>
      <c r="E20" s="94" t="s">
        <v>141</v>
      </c>
      <c r="F20" s="98" t="s">
        <v>142</v>
      </c>
      <c r="G20" s="94" t="s">
        <v>170</v>
      </c>
      <c r="H20" s="94">
        <v>360.0</v>
      </c>
      <c r="I20" s="94" t="s">
        <v>67</v>
      </c>
      <c r="J20" s="94" t="s">
        <v>68</v>
      </c>
      <c r="K20" s="104" t="s">
        <v>69</v>
      </c>
      <c r="L20" s="94">
        <v>25.0</v>
      </c>
      <c r="M20" s="96">
        <v>50.0</v>
      </c>
      <c r="N20" s="97">
        <v>2022.0</v>
      </c>
      <c r="O20" s="98" t="s">
        <v>171</v>
      </c>
      <c r="P20" s="99" t="s">
        <v>145</v>
      </c>
      <c r="Q20" s="97" t="s">
        <v>137</v>
      </c>
      <c r="R20" s="97" t="s">
        <v>137</v>
      </c>
      <c r="S20" s="97">
        <v>9.0</v>
      </c>
      <c r="T20" s="97">
        <v>5.0</v>
      </c>
      <c r="U20" s="97"/>
      <c r="V20" s="97">
        <v>10.0</v>
      </c>
      <c r="W20" s="97">
        <v>4.0</v>
      </c>
      <c r="X20" s="97">
        <v>0.0</v>
      </c>
      <c r="Y20" s="97">
        <v>14.0</v>
      </c>
      <c r="Z20" s="64">
        <f t="shared" si="8"/>
        <v>0.6428571429</v>
      </c>
      <c r="AA20" s="100">
        <v>40.0</v>
      </c>
      <c r="AB20" s="97">
        <v>1.0</v>
      </c>
      <c r="AC20" s="100">
        <v>330.0</v>
      </c>
      <c r="AD20" s="97">
        <v>1.0</v>
      </c>
      <c r="AE20" s="100">
        <v>330.0</v>
      </c>
      <c r="AF20" s="86" t="s">
        <v>159</v>
      </c>
      <c r="AG20" s="100">
        <v>178200.0</v>
      </c>
      <c r="AH20" s="100">
        <v>131490.0</v>
      </c>
      <c r="AI20" s="100">
        <f t="shared" si="15"/>
        <v>35640</v>
      </c>
      <c r="AJ20" s="68">
        <f t="shared" si="12"/>
        <v>4455</v>
      </c>
      <c r="AK20" s="68">
        <f t="shared" si="13"/>
        <v>5346</v>
      </c>
      <c r="AL20" s="101" t="s">
        <v>172</v>
      </c>
      <c r="AM20" s="98">
        <v>2022.0</v>
      </c>
      <c r="AN20" s="98" t="s">
        <v>155</v>
      </c>
      <c r="AO20" s="94">
        <v>2028.0</v>
      </c>
      <c r="AP20" s="89" t="s">
        <v>88</v>
      </c>
      <c r="AQ20" s="101" t="s">
        <v>63</v>
      </c>
      <c r="AR20" s="102" t="s">
        <v>102</v>
      </c>
      <c r="AS20" s="94"/>
      <c r="AT20" s="94"/>
      <c r="AU20" s="94"/>
      <c r="AV20" s="94"/>
      <c r="AW20" s="94"/>
      <c r="AX20" s="94"/>
      <c r="AY20" s="94"/>
      <c r="AZ20" s="94"/>
      <c r="BA20" s="94"/>
      <c r="BB20" s="103"/>
      <c r="BC20" s="103"/>
      <c r="BD20" s="103"/>
      <c r="BE20" s="103"/>
      <c r="BF20" s="103"/>
      <c r="BG20" s="104"/>
      <c r="BH20" s="104"/>
      <c r="BI20" s="104"/>
    </row>
    <row r="21" ht="15.75" customHeight="1">
      <c r="A21" s="105" t="s">
        <v>173</v>
      </c>
      <c r="B21" s="106" t="s">
        <v>63</v>
      </c>
      <c r="C21" s="107" t="s">
        <v>174</v>
      </c>
      <c r="D21" s="108" t="s">
        <v>92</v>
      </c>
      <c r="E21" s="108" t="s">
        <v>175</v>
      </c>
      <c r="F21" s="108" t="s">
        <v>176</v>
      </c>
      <c r="G21" s="108" t="s">
        <v>177</v>
      </c>
      <c r="H21" s="108">
        <v>390.0</v>
      </c>
      <c r="I21" s="108" t="s">
        <v>67</v>
      </c>
      <c r="J21" s="108" t="s">
        <v>96</v>
      </c>
      <c r="K21" s="109" t="s">
        <v>69</v>
      </c>
      <c r="L21" s="94">
        <v>25.0</v>
      </c>
      <c r="M21" s="110">
        <v>50.0</v>
      </c>
      <c r="N21" s="111">
        <v>2019.0</v>
      </c>
      <c r="O21" s="112" t="s">
        <v>178</v>
      </c>
      <c r="P21" s="113" t="s">
        <v>179</v>
      </c>
      <c r="Q21" s="111" t="s">
        <v>137</v>
      </c>
      <c r="R21" s="111" t="s">
        <v>137</v>
      </c>
      <c r="S21" s="111">
        <v>1.0</v>
      </c>
      <c r="T21" s="111">
        <v>12.0</v>
      </c>
      <c r="U21" s="111"/>
      <c r="V21" s="111">
        <v>10.0</v>
      </c>
      <c r="W21" s="111">
        <v>2.0</v>
      </c>
      <c r="X21" s="111">
        <v>1.0</v>
      </c>
      <c r="Y21" s="111">
        <f t="shared" ref="Y21:Y24" si="17">SUM(S21:T21)</f>
        <v>13</v>
      </c>
      <c r="Z21" s="64">
        <f t="shared" si="8"/>
        <v>0.07692307692</v>
      </c>
      <c r="AA21" s="111"/>
      <c r="AB21" s="111"/>
      <c r="AC21" s="114">
        <v>510.0</v>
      </c>
      <c r="AD21" s="111">
        <v>1.0</v>
      </c>
      <c r="AE21" s="114">
        <v>510.0</v>
      </c>
      <c r="AF21" s="86" t="s">
        <v>180</v>
      </c>
      <c r="AG21" s="100">
        <v>216750.0</v>
      </c>
      <c r="AH21" s="114">
        <v>146306.0</v>
      </c>
      <c r="AI21" s="114">
        <f t="shared" ref="AI21:AI30" si="18">AG21*0.25</f>
        <v>54187.5</v>
      </c>
      <c r="AJ21" s="68">
        <f t="shared" si="12"/>
        <v>5418.75</v>
      </c>
      <c r="AK21" s="68">
        <f t="shared" si="13"/>
        <v>6502.5</v>
      </c>
      <c r="AL21" s="115" t="s">
        <v>181</v>
      </c>
      <c r="AM21" s="112">
        <v>2019.0</v>
      </c>
      <c r="AN21" s="98" t="s">
        <v>155</v>
      </c>
      <c r="AO21" s="58">
        <f t="shared" ref="AO21:AO23" si="19">AM21+6</f>
        <v>2025</v>
      </c>
      <c r="AP21" s="102" t="s">
        <v>156</v>
      </c>
      <c r="AQ21" s="108"/>
      <c r="AR21" s="89" t="s">
        <v>121</v>
      </c>
      <c r="AS21" s="108"/>
      <c r="AT21" s="108"/>
      <c r="AU21" s="108"/>
      <c r="AV21" s="108"/>
      <c r="AW21" s="108"/>
      <c r="AX21" s="108"/>
      <c r="AY21" s="108"/>
      <c r="AZ21" s="108"/>
      <c r="BA21" s="108"/>
      <c r="BB21" s="116">
        <v>44817.0</v>
      </c>
      <c r="BC21" s="116">
        <v>44817.0</v>
      </c>
      <c r="BD21" s="116">
        <v>44817.0</v>
      </c>
      <c r="BE21" s="116">
        <v>44817.0</v>
      </c>
      <c r="BF21" s="116">
        <v>44817.0</v>
      </c>
      <c r="BG21" s="109"/>
      <c r="BH21" s="109"/>
      <c r="BI21" s="117" t="s">
        <v>63</v>
      </c>
    </row>
    <row r="22" ht="15.75" customHeight="1">
      <c r="A22" s="105" t="s">
        <v>173</v>
      </c>
      <c r="B22" s="106" t="s">
        <v>63</v>
      </c>
      <c r="C22" s="107" t="s">
        <v>182</v>
      </c>
      <c r="D22" s="108" t="s">
        <v>92</v>
      </c>
      <c r="E22" s="108" t="s">
        <v>183</v>
      </c>
      <c r="F22" s="108" t="s">
        <v>184</v>
      </c>
      <c r="G22" s="108" t="s">
        <v>185</v>
      </c>
      <c r="H22" s="108">
        <v>395.0</v>
      </c>
      <c r="I22" s="108" t="s">
        <v>67</v>
      </c>
      <c r="J22" s="108" t="s">
        <v>96</v>
      </c>
      <c r="K22" s="109" t="s">
        <v>69</v>
      </c>
      <c r="L22" s="94">
        <v>25.0</v>
      </c>
      <c r="M22" s="110">
        <v>50.0</v>
      </c>
      <c r="N22" s="111">
        <v>2019.0</v>
      </c>
      <c r="O22" s="112" t="s">
        <v>186</v>
      </c>
      <c r="P22" s="113" t="s">
        <v>187</v>
      </c>
      <c r="Q22" s="111" t="s">
        <v>137</v>
      </c>
      <c r="R22" s="111" t="s">
        <v>188</v>
      </c>
      <c r="S22" s="111">
        <v>11.0</v>
      </c>
      <c r="T22" s="111">
        <v>5.0</v>
      </c>
      <c r="U22" s="111"/>
      <c r="V22" s="111">
        <v>5.0</v>
      </c>
      <c r="W22" s="111">
        <v>9.0</v>
      </c>
      <c r="X22" s="111">
        <v>1.0</v>
      </c>
      <c r="Y22" s="111">
        <f t="shared" si="17"/>
        <v>16</v>
      </c>
      <c r="Z22" s="64">
        <f t="shared" si="8"/>
        <v>0.6875</v>
      </c>
      <c r="AA22" s="111"/>
      <c r="AB22" s="111"/>
      <c r="AC22" s="114">
        <v>510.0</v>
      </c>
      <c r="AD22" s="111">
        <v>1.0</v>
      </c>
      <c r="AE22" s="114">
        <v>510.0</v>
      </c>
      <c r="AF22" s="86" t="s">
        <v>180</v>
      </c>
      <c r="AG22" s="100">
        <v>216750.0</v>
      </c>
      <c r="AH22" s="114">
        <v>146306.0</v>
      </c>
      <c r="AI22" s="114">
        <f t="shared" si="18"/>
        <v>54187.5</v>
      </c>
      <c r="AJ22" s="68">
        <f t="shared" si="12"/>
        <v>5418.75</v>
      </c>
      <c r="AK22" s="68">
        <f t="shared" si="13"/>
        <v>6502.5</v>
      </c>
      <c r="AL22" s="115" t="s">
        <v>189</v>
      </c>
      <c r="AM22" s="112">
        <v>2019.0</v>
      </c>
      <c r="AN22" s="98" t="s">
        <v>155</v>
      </c>
      <c r="AO22" s="58">
        <f t="shared" si="19"/>
        <v>2025</v>
      </c>
      <c r="AP22" s="102" t="s">
        <v>156</v>
      </c>
      <c r="AQ22" s="108"/>
      <c r="AR22" s="89" t="s">
        <v>121</v>
      </c>
      <c r="AS22" s="108"/>
      <c r="AT22" s="108"/>
      <c r="AU22" s="108"/>
      <c r="AV22" s="108"/>
      <c r="AW22" s="108"/>
      <c r="AX22" s="108"/>
      <c r="AY22" s="108"/>
      <c r="AZ22" s="108"/>
      <c r="BA22" s="108"/>
      <c r="BB22" s="116">
        <v>44817.0</v>
      </c>
      <c r="BC22" s="116">
        <v>44817.0</v>
      </c>
      <c r="BD22" s="116">
        <v>44817.0</v>
      </c>
      <c r="BE22" s="116">
        <v>44817.0</v>
      </c>
      <c r="BF22" s="116">
        <v>44817.0</v>
      </c>
      <c r="BG22" s="109"/>
      <c r="BH22" s="109"/>
      <c r="BI22" s="109" t="s">
        <v>129</v>
      </c>
    </row>
    <row r="23" ht="15.75" customHeight="1">
      <c r="A23" s="105" t="s">
        <v>173</v>
      </c>
      <c r="B23" s="106" t="s">
        <v>63</v>
      </c>
      <c r="C23" s="107" t="s">
        <v>190</v>
      </c>
      <c r="D23" s="108" t="s">
        <v>92</v>
      </c>
      <c r="E23" s="108" t="s">
        <v>191</v>
      </c>
      <c r="F23" s="108" t="s">
        <v>192</v>
      </c>
      <c r="G23" s="108"/>
      <c r="H23" s="108">
        <v>420.0</v>
      </c>
      <c r="I23" s="108"/>
      <c r="J23" s="108" t="s">
        <v>96</v>
      </c>
      <c r="K23" s="109" t="s">
        <v>69</v>
      </c>
      <c r="L23" s="94">
        <v>25.0</v>
      </c>
      <c r="M23" s="110">
        <v>50.0</v>
      </c>
      <c r="N23" s="111">
        <v>2014.0</v>
      </c>
      <c r="O23" s="112" t="s">
        <v>193</v>
      </c>
      <c r="P23" s="113" t="s">
        <v>194</v>
      </c>
      <c r="Q23" s="111" t="s">
        <v>85</v>
      </c>
      <c r="R23" s="111" t="s">
        <v>195</v>
      </c>
      <c r="S23" s="111">
        <v>9.0</v>
      </c>
      <c r="T23" s="111">
        <v>3.0</v>
      </c>
      <c r="U23" s="111"/>
      <c r="V23" s="111">
        <v>1.0</v>
      </c>
      <c r="W23" s="111">
        <v>9.0</v>
      </c>
      <c r="X23" s="111">
        <v>2.0</v>
      </c>
      <c r="Y23" s="111">
        <f t="shared" si="17"/>
        <v>12</v>
      </c>
      <c r="Z23" s="64">
        <f t="shared" si="8"/>
        <v>0.75</v>
      </c>
      <c r="AA23" s="111"/>
      <c r="AB23" s="111"/>
      <c r="AC23" s="111"/>
      <c r="AD23" s="111"/>
      <c r="AE23" s="111"/>
      <c r="AF23" s="86" t="str">
        <f>IF(#REF!&gt;TODAY(),DATEDIF(#REF!,TODAY(),"M")+1,DATEDIF(#REF!,#REF!,"M")+1)</f>
        <v>#REF!</v>
      </c>
      <c r="AG23" s="100" t="str">
        <f>LARGE(AS23:BA23,1)*((AA23*AB23)+(AC23*AD23)+(AE23*AF23))</f>
        <v>#NUM!</v>
      </c>
      <c r="AH23" s="111"/>
      <c r="AI23" s="114" t="str">
        <f t="shared" si="18"/>
        <v>#NUM!</v>
      </c>
      <c r="AJ23" s="68" t="str">
        <f t="shared" si="12"/>
        <v>#NUM!</v>
      </c>
      <c r="AK23" s="68" t="str">
        <f t="shared" si="13"/>
        <v>#NUM!</v>
      </c>
      <c r="AL23" s="115" t="s">
        <v>196</v>
      </c>
      <c r="AM23" s="112">
        <v>2015.0</v>
      </c>
      <c r="AN23" s="59" t="s">
        <v>120</v>
      </c>
      <c r="AO23" s="58">
        <f t="shared" si="19"/>
        <v>2021</v>
      </c>
      <c r="AP23" s="89" t="s">
        <v>156</v>
      </c>
      <c r="AQ23" s="108"/>
      <c r="AR23" s="89" t="s">
        <v>121</v>
      </c>
      <c r="AS23" s="108"/>
      <c r="AT23" s="108"/>
      <c r="AU23" s="108"/>
      <c r="AV23" s="108"/>
      <c r="AW23" s="108"/>
      <c r="AX23" s="108"/>
      <c r="AY23" s="108"/>
      <c r="AZ23" s="108"/>
      <c r="BA23" s="108"/>
      <c r="BB23" s="116">
        <v>44817.0</v>
      </c>
      <c r="BC23" s="116">
        <v>44817.0</v>
      </c>
      <c r="BD23" s="116">
        <v>44817.0</v>
      </c>
      <c r="BE23" s="116">
        <v>44817.0</v>
      </c>
      <c r="BF23" s="116">
        <v>44817.0</v>
      </c>
      <c r="BG23" s="109"/>
      <c r="BH23" s="109"/>
      <c r="BI23" s="109" t="s">
        <v>129</v>
      </c>
    </row>
    <row r="24" ht="15.75" customHeight="1">
      <c r="A24" s="105" t="s">
        <v>173</v>
      </c>
      <c r="B24" s="106" t="s">
        <v>63</v>
      </c>
      <c r="C24" s="107" t="s">
        <v>197</v>
      </c>
      <c r="D24" s="108" t="s">
        <v>92</v>
      </c>
      <c r="E24" s="108" t="s">
        <v>198</v>
      </c>
      <c r="F24" s="108" t="s">
        <v>199</v>
      </c>
      <c r="G24" s="108" t="s">
        <v>200</v>
      </c>
      <c r="H24" s="108">
        <v>367.0</v>
      </c>
      <c r="I24" s="108" t="s">
        <v>67</v>
      </c>
      <c r="J24" s="108" t="s">
        <v>96</v>
      </c>
      <c r="K24" s="109" t="s">
        <v>69</v>
      </c>
      <c r="L24" s="94">
        <v>25.0</v>
      </c>
      <c r="M24" s="110">
        <v>50.0</v>
      </c>
      <c r="N24" s="111">
        <v>2008.0</v>
      </c>
      <c r="O24" s="112" t="s">
        <v>201</v>
      </c>
      <c r="P24" s="113" t="s">
        <v>202</v>
      </c>
      <c r="Q24" s="111" t="s">
        <v>85</v>
      </c>
      <c r="R24" s="118" t="s">
        <v>203</v>
      </c>
      <c r="S24" s="111">
        <v>9.0</v>
      </c>
      <c r="T24" s="111">
        <v>6.0</v>
      </c>
      <c r="U24" s="111"/>
      <c r="V24" s="111">
        <v>5.0</v>
      </c>
      <c r="W24" s="111">
        <v>8.0</v>
      </c>
      <c r="X24" s="111">
        <v>2.0</v>
      </c>
      <c r="Y24" s="111">
        <f t="shared" si="17"/>
        <v>15</v>
      </c>
      <c r="Z24" s="64">
        <f t="shared" si="8"/>
        <v>0.6</v>
      </c>
      <c r="AA24" s="111"/>
      <c r="AB24" s="111"/>
      <c r="AC24" s="114">
        <v>506.0</v>
      </c>
      <c r="AD24" s="111">
        <v>1.0</v>
      </c>
      <c r="AE24" s="114">
        <v>495.0</v>
      </c>
      <c r="AF24" s="86" t="s">
        <v>159</v>
      </c>
      <c r="AG24" s="73">
        <v>223025.0</v>
      </c>
      <c r="AH24" s="114">
        <v>150541.0</v>
      </c>
      <c r="AI24" s="114">
        <f t="shared" si="18"/>
        <v>55756.25</v>
      </c>
      <c r="AJ24" s="68">
        <f t="shared" si="12"/>
        <v>5575.625</v>
      </c>
      <c r="AK24" s="68">
        <f>0.05*AG24</f>
        <v>11151.25</v>
      </c>
      <c r="AL24" s="115" t="s">
        <v>204</v>
      </c>
      <c r="AM24" s="112">
        <v>2008.0</v>
      </c>
      <c r="AN24" s="115" t="s">
        <v>205</v>
      </c>
      <c r="AO24" s="108">
        <v>2018.0</v>
      </c>
      <c r="AP24" s="89" t="s">
        <v>88</v>
      </c>
      <c r="AQ24" s="115" t="s">
        <v>63</v>
      </c>
      <c r="AR24" s="89" t="s">
        <v>121</v>
      </c>
      <c r="AS24" s="108"/>
      <c r="AT24" s="108"/>
      <c r="AU24" s="108"/>
      <c r="AV24" s="108"/>
      <c r="AW24" s="108"/>
      <c r="AX24" s="108"/>
      <c r="AY24" s="108"/>
      <c r="AZ24" s="108"/>
      <c r="BA24" s="108"/>
      <c r="BB24" s="116">
        <v>44817.0</v>
      </c>
      <c r="BC24" s="116">
        <v>44817.0</v>
      </c>
      <c r="BD24" s="116">
        <v>44817.0</v>
      </c>
      <c r="BE24" s="116">
        <v>44817.0</v>
      </c>
      <c r="BF24" s="116">
        <v>44817.0</v>
      </c>
      <c r="BG24" s="109"/>
      <c r="BH24" s="109"/>
      <c r="BI24" s="109" t="s">
        <v>129</v>
      </c>
    </row>
    <row r="25" ht="15.75" customHeight="1">
      <c r="A25" s="105" t="s">
        <v>173</v>
      </c>
      <c r="B25" s="106" t="s">
        <v>63</v>
      </c>
      <c r="C25" s="119" t="s">
        <v>206</v>
      </c>
      <c r="D25" s="108" t="s">
        <v>92</v>
      </c>
      <c r="E25" s="108" t="s">
        <v>175</v>
      </c>
      <c r="F25" s="108" t="s">
        <v>176</v>
      </c>
      <c r="G25" s="108"/>
      <c r="H25" s="108">
        <v>450.0</v>
      </c>
      <c r="I25" s="108"/>
      <c r="J25" s="108" t="s">
        <v>96</v>
      </c>
      <c r="K25" s="109" t="s">
        <v>69</v>
      </c>
      <c r="L25" s="94"/>
      <c r="M25" s="110">
        <v>50.0</v>
      </c>
      <c r="N25" s="111">
        <v>2008.0</v>
      </c>
      <c r="O25" s="111"/>
      <c r="P25" s="113" t="s">
        <v>179</v>
      </c>
      <c r="Q25" s="111"/>
      <c r="R25" s="111"/>
      <c r="S25" s="111"/>
      <c r="T25" s="111"/>
      <c r="U25" s="111"/>
      <c r="V25" s="111"/>
      <c r="W25" s="111"/>
      <c r="X25" s="111"/>
      <c r="Y25" s="111">
        <f>SUM(S25:W25)</f>
        <v>0</v>
      </c>
      <c r="Z25" s="64" t="str">
        <f t="shared" si="8"/>
        <v>#DIV/0!</v>
      </c>
      <c r="AA25" s="111"/>
      <c r="AB25" s="111"/>
      <c r="AC25" s="114"/>
      <c r="AD25" s="111"/>
      <c r="AE25" s="111"/>
      <c r="AF25" s="86" t="str">
        <f>IF(#REF!&gt;TODAY(),DATEDIF(#REF!,TODAY(),"M")+1,DATEDIF(#REF!,#REF!,"M")+1)</f>
        <v>#REF!</v>
      </c>
      <c r="AG25" s="68" t="str">
        <f>LARGE(AS25:BA25,1)*((AA25*AB25)+(AC25*AD25)+(AE25*AF25))</f>
        <v>#NUM!</v>
      </c>
      <c r="AH25" s="111"/>
      <c r="AI25" s="114" t="str">
        <f t="shared" si="18"/>
        <v>#NUM!</v>
      </c>
      <c r="AJ25" s="68" t="str">
        <f t="shared" si="12"/>
        <v>#NUM!</v>
      </c>
      <c r="AK25" s="68" t="str">
        <f>0.03*AG25</f>
        <v>#NUM!</v>
      </c>
      <c r="AL25" s="115" t="s">
        <v>207</v>
      </c>
      <c r="AM25" s="112">
        <v>2008.0</v>
      </c>
      <c r="AN25" s="120"/>
      <c r="AO25" s="120"/>
      <c r="AP25" s="89" t="s">
        <v>88</v>
      </c>
      <c r="AQ25" s="115" t="s">
        <v>63</v>
      </c>
      <c r="AR25" s="89" t="s">
        <v>121</v>
      </c>
      <c r="AS25" s="108"/>
      <c r="AT25" s="108"/>
      <c r="AU25" s="108"/>
      <c r="AV25" s="108"/>
      <c r="AW25" s="108"/>
      <c r="AX25" s="108"/>
      <c r="AY25" s="108"/>
      <c r="AZ25" s="108"/>
      <c r="BA25" s="108"/>
      <c r="BB25" s="116">
        <v>44817.0</v>
      </c>
      <c r="BC25" s="116">
        <v>44817.0</v>
      </c>
      <c r="BD25" s="116">
        <v>44817.0</v>
      </c>
      <c r="BE25" s="116">
        <v>44817.0</v>
      </c>
      <c r="BF25" s="116">
        <v>44817.0</v>
      </c>
      <c r="BG25" s="109"/>
      <c r="BH25" s="109"/>
      <c r="BI25" s="109" t="s">
        <v>129</v>
      </c>
    </row>
    <row r="26" ht="15.75" customHeight="1">
      <c r="A26" s="105" t="s">
        <v>173</v>
      </c>
      <c r="B26" s="106" t="s">
        <v>63</v>
      </c>
      <c r="C26" s="119" t="s">
        <v>208</v>
      </c>
      <c r="D26" s="108" t="s">
        <v>92</v>
      </c>
      <c r="E26" s="108" t="s">
        <v>209</v>
      </c>
      <c r="F26" s="112" t="s">
        <v>210</v>
      </c>
      <c r="G26" s="108"/>
      <c r="H26" s="108">
        <v>480.0</v>
      </c>
      <c r="I26" s="108"/>
      <c r="J26" s="108" t="s">
        <v>96</v>
      </c>
      <c r="K26" s="109" t="s">
        <v>97</v>
      </c>
      <c r="L26" s="94"/>
      <c r="M26" s="110">
        <v>50.0</v>
      </c>
      <c r="N26" s="111"/>
      <c r="O26" s="112"/>
      <c r="P26" s="111"/>
      <c r="Q26" s="111"/>
      <c r="R26" s="111"/>
      <c r="S26" s="111"/>
      <c r="T26" s="111"/>
      <c r="U26" s="111"/>
      <c r="V26" s="111"/>
      <c r="W26" s="111"/>
      <c r="X26" s="111"/>
      <c r="Y26" s="111">
        <f t="shared" ref="Y26:Y35" si="20">SUM(S26:T26)</f>
        <v>0</v>
      </c>
      <c r="Z26" s="64" t="str">
        <f t="shared" si="8"/>
        <v>#DIV/0!</v>
      </c>
      <c r="AA26" s="111"/>
      <c r="AB26" s="111"/>
      <c r="AC26" s="114"/>
      <c r="AD26" s="111"/>
      <c r="AE26" s="114"/>
      <c r="AF26" s="121"/>
      <c r="AG26" s="68"/>
      <c r="AH26" s="114"/>
      <c r="AI26" s="114">
        <f t="shared" si="18"/>
        <v>0</v>
      </c>
      <c r="AJ26" s="68">
        <f t="shared" si="12"/>
        <v>0</v>
      </c>
      <c r="AK26" s="68">
        <f t="shared" ref="AK26:AK27" si="21">0.05*AG26</f>
        <v>0</v>
      </c>
      <c r="AL26" s="115" t="s">
        <v>211</v>
      </c>
      <c r="AM26" s="112">
        <v>2016.0</v>
      </c>
      <c r="AN26" s="58"/>
      <c r="AO26" s="58">
        <f t="shared" ref="AO26:AO34" si="22">AM26+6</f>
        <v>2022</v>
      </c>
      <c r="AP26" s="89" t="s">
        <v>88</v>
      </c>
      <c r="AQ26" s="108"/>
      <c r="AR26" s="89" t="s">
        <v>102</v>
      </c>
      <c r="AS26" s="108"/>
      <c r="AT26" s="108"/>
      <c r="AU26" s="108"/>
      <c r="AV26" s="108"/>
      <c r="AW26" s="108"/>
      <c r="AX26" s="108"/>
      <c r="AY26" s="108"/>
      <c r="AZ26" s="108"/>
      <c r="BA26" s="108"/>
      <c r="BB26" s="116">
        <v>44817.0</v>
      </c>
      <c r="BC26" s="116">
        <v>44817.0</v>
      </c>
      <c r="BD26" s="116">
        <v>44817.0</v>
      </c>
      <c r="BE26" s="116">
        <v>44817.0</v>
      </c>
      <c r="BF26" s="116">
        <v>44817.0</v>
      </c>
      <c r="BG26" s="109"/>
      <c r="BH26" s="109"/>
      <c r="BI26" s="109" t="s">
        <v>129</v>
      </c>
    </row>
    <row r="27" ht="15.75" customHeight="1">
      <c r="A27" s="105" t="s">
        <v>173</v>
      </c>
      <c r="B27" s="106" t="s">
        <v>63</v>
      </c>
      <c r="C27" s="107" t="s">
        <v>212</v>
      </c>
      <c r="D27" s="108" t="s">
        <v>92</v>
      </c>
      <c r="E27" s="122" t="s">
        <v>213</v>
      </c>
      <c r="F27" s="108" t="s">
        <v>214</v>
      </c>
      <c r="G27" s="108" t="s">
        <v>215</v>
      </c>
      <c r="H27" s="108">
        <v>480.0</v>
      </c>
      <c r="I27" s="108" t="s">
        <v>67</v>
      </c>
      <c r="J27" s="108" t="s">
        <v>96</v>
      </c>
      <c r="K27" s="109" t="s">
        <v>69</v>
      </c>
      <c r="L27" s="94">
        <v>25.0</v>
      </c>
      <c r="M27" s="110">
        <v>50.0</v>
      </c>
      <c r="N27" s="111">
        <v>1995.0</v>
      </c>
      <c r="O27" s="112" t="s">
        <v>216</v>
      </c>
      <c r="P27" s="113" t="s">
        <v>217</v>
      </c>
      <c r="Q27" s="111" t="s">
        <v>85</v>
      </c>
      <c r="R27" s="111" t="s">
        <v>218</v>
      </c>
      <c r="S27" s="111">
        <v>8.0</v>
      </c>
      <c r="T27" s="111">
        <v>6.0</v>
      </c>
      <c r="U27" s="111"/>
      <c r="V27" s="111">
        <v>4.0</v>
      </c>
      <c r="W27" s="111">
        <v>8.0</v>
      </c>
      <c r="X27" s="111">
        <v>2.0</v>
      </c>
      <c r="Y27" s="111">
        <f t="shared" si="20"/>
        <v>14</v>
      </c>
      <c r="Z27" s="64">
        <f t="shared" si="8"/>
        <v>0.5714285714</v>
      </c>
      <c r="AA27" s="111"/>
      <c r="AB27" s="111"/>
      <c r="AC27" s="114">
        <v>506.0</v>
      </c>
      <c r="AD27" s="111">
        <v>1.0</v>
      </c>
      <c r="AE27" s="114">
        <v>500.5</v>
      </c>
      <c r="AF27" s="86" t="s">
        <v>219</v>
      </c>
      <c r="AG27" s="68">
        <v>237875.0</v>
      </c>
      <c r="AH27" s="114">
        <v>160565.63</v>
      </c>
      <c r="AI27" s="114">
        <f t="shared" si="18"/>
        <v>59468.75</v>
      </c>
      <c r="AJ27" s="68">
        <f t="shared" si="12"/>
        <v>5946.875</v>
      </c>
      <c r="AK27" s="68">
        <f t="shared" si="21"/>
        <v>11893.75</v>
      </c>
      <c r="AL27" s="115" t="s">
        <v>220</v>
      </c>
      <c r="AM27" s="112">
        <v>2019.0</v>
      </c>
      <c r="AN27" s="59" t="s">
        <v>155</v>
      </c>
      <c r="AO27" s="58">
        <f t="shared" si="22"/>
        <v>2025</v>
      </c>
      <c r="AP27" s="89" t="s">
        <v>88</v>
      </c>
      <c r="AQ27" s="115" t="s">
        <v>63</v>
      </c>
      <c r="AR27" s="89" t="s">
        <v>121</v>
      </c>
      <c r="AS27" s="108"/>
      <c r="AT27" s="108"/>
      <c r="AU27" s="108"/>
      <c r="AV27" s="108"/>
      <c r="AW27" s="108"/>
      <c r="AX27" s="108"/>
      <c r="AY27" s="108"/>
      <c r="AZ27" s="108"/>
      <c r="BA27" s="108"/>
      <c r="BB27" s="116">
        <v>44817.0</v>
      </c>
      <c r="BC27" s="116">
        <v>44817.0</v>
      </c>
      <c r="BD27" s="116">
        <v>44817.0</v>
      </c>
      <c r="BE27" s="116">
        <v>44817.0</v>
      </c>
      <c r="BF27" s="116">
        <v>44817.0</v>
      </c>
      <c r="BG27" s="109"/>
      <c r="BH27" s="109"/>
      <c r="BI27" s="109" t="s">
        <v>129</v>
      </c>
    </row>
    <row r="28" ht="15.75" customHeight="1">
      <c r="A28" s="105" t="s">
        <v>173</v>
      </c>
      <c r="B28" s="106" t="s">
        <v>63</v>
      </c>
      <c r="C28" s="123" t="s">
        <v>221</v>
      </c>
      <c r="D28" s="108" t="s">
        <v>92</v>
      </c>
      <c r="E28" s="108" t="s">
        <v>222</v>
      </c>
      <c r="F28" s="108" t="s">
        <v>223</v>
      </c>
      <c r="G28" s="108"/>
      <c r="H28" s="108">
        <v>390.0</v>
      </c>
      <c r="I28" s="108"/>
      <c r="J28" s="108" t="s">
        <v>96</v>
      </c>
      <c r="K28" s="109" t="s">
        <v>97</v>
      </c>
      <c r="L28" s="124"/>
      <c r="M28" s="110">
        <v>50.0</v>
      </c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>
        <f t="shared" si="20"/>
        <v>0</v>
      </c>
      <c r="Z28" s="64" t="str">
        <f t="shared" si="8"/>
        <v>#DIV/0!</v>
      </c>
      <c r="AA28" s="111"/>
      <c r="AB28" s="111"/>
      <c r="AC28" s="111"/>
      <c r="AD28" s="111"/>
      <c r="AE28" s="111"/>
      <c r="AF28" s="86" t="str">
        <f>IF(#REF!&gt;TODAY(),DATEDIF(#REF!,TODAY(),"M")+1,DATEDIF(#REF!,#REF!,"M")+1)</f>
        <v>#REF!</v>
      </c>
      <c r="AG28" s="68" t="str">
        <f>LARGE(AS28:BA28,1)*((AA28*AB28)+(AC28*AD28)+(AE28*AF28))</f>
        <v>#NUM!</v>
      </c>
      <c r="AH28" s="111"/>
      <c r="AI28" s="114" t="str">
        <f t="shared" si="18"/>
        <v>#NUM!</v>
      </c>
      <c r="AJ28" s="68" t="str">
        <f t="shared" si="12"/>
        <v>#NUM!</v>
      </c>
      <c r="AK28" s="68" t="str">
        <f>0.03*AG28</f>
        <v>#NUM!</v>
      </c>
      <c r="AL28" s="115" t="s">
        <v>224</v>
      </c>
      <c r="AM28" s="112">
        <v>2019.0</v>
      </c>
      <c r="AN28" s="58"/>
      <c r="AO28" s="58">
        <f t="shared" si="22"/>
        <v>2025</v>
      </c>
      <c r="AP28" s="89" t="s">
        <v>88</v>
      </c>
      <c r="AQ28" s="108"/>
      <c r="AR28" s="89" t="s">
        <v>102</v>
      </c>
      <c r="AS28" s="108"/>
      <c r="AT28" s="108"/>
      <c r="AU28" s="108"/>
      <c r="AV28" s="108"/>
      <c r="AW28" s="108"/>
      <c r="AX28" s="108"/>
      <c r="AY28" s="108"/>
      <c r="AZ28" s="108"/>
      <c r="BA28" s="108"/>
      <c r="BB28" s="116">
        <v>44817.0</v>
      </c>
      <c r="BC28" s="116">
        <v>44817.0</v>
      </c>
      <c r="BD28" s="116">
        <v>44817.0</v>
      </c>
      <c r="BE28" s="116">
        <v>44817.0</v>
      </c>
      <c r="BF28" s="116">
        <v>44817.0</v>
      </c>
      <c r="BG28" s="109"/>
      <c r="BH28" s="109"/>
      <c r="BI28" s="109" t="s">
        <v>129</v>
      </c>
    </row>
    <row r="29" ht="15.75" customHeight="1">
      <c r="A29" s="105" t="s">
        <v>173</v>
      </c>
      <c r="B29" s="106" t="s">
        <v>63</v>
      </c>
      <c r="C29" s="107" t="s">
        <v>225</v>
      </c>
      <c r="D29" s="108" t="s">
        <v>92</v>
      </c>
      <c r="E29" s="122" t="s">
        <v>226</v>
      </c>
      <c r="F29" s="108" t="s">
        <v>227</v>
      </c>
      <c r="G29" s="108" t="s">
        <v>228</v>
      </c>
      <c r="H29" s="108">
        <v>390.0</v>
      </c>
      <c r="I29" s="108" t="s">
        <v>67</v>
      </c>
      <c r="J29" s="108" t="s">
        <v>96</v>
      </c>
      <c r="K29" s="109" t="s">
        <v>69</v>
      </c>
      <c r="L29" s="124">
        <v>35.0</v>
      </c>
      <c r="M29" s="110">
        <v>50.0</v>
      </c>
      <c r="N29" s="111">
        <v>2017.0</v>
      </c>
      <c r="O29" s="112" t="s">
        <v>229</v>
      </c>
      <c r="P29" s="113" t="s">
        <v>230</v>
      </c>
      <c r="Q29" s="111" t="s">
        <v>85</v>
      </c>
      <c r="R29" s="118" t="s">
        <v>231</v>
      </c>
      <c r="S29" s="111">
        <v>7.0</v>
      </c>
      <c r="T29" s="111">
        <v>4.0</v>
      </c>
      <c r="U29" s="111"/>
      <c r="V29" s="111">
        <v>4.0</v>
      </c>
      <c r="W29" s="111">
        <v>7.0</v>
      </c>
      <c r="X29" s="111">
        <v>0.0</v>
      </c>
      <c r="Y29" s="111">
        <f t="shared" si="20"/>
        <v>11</v>
      </c>
      <c r="Z29" s="64">
        <f t="shared" si="8"/>
        <v>0.6363636364</v>
      </c>
      <c r="AA29" s="114">
        <v>55.0</v>
      </c>
      <c r="AB29" s="111">
        <v>1.0</v>
      </c>
      <c r="AC29" s="114">
        <v>506.0</v>
      </c>
      <c r="AD29" s="111">
        <v>1.0</v>
      </c>
      <c r="AE29" s="114">
        <v>495.0</v>
      </c>
      <c r="AF29" s="86" t="s">
        <v>232</v>
      </c>
      <c r="AG29" s="68">
        <v>262185.0</v>
      </c>
      <c r="AH29" s="114">
        <v>176974.88</v>
      </c>
      <c r="AI29" s="114">
        <f t="shared" si="18"/>
        <v>65546.25</v>
      </c>
      <c r="AJ29" s="68">
        <f t="shared" si="12"/>
        <v>6554.625</v>
      </c>
      <c r="AK29" s="68">
        <f t="shared" ref="AK29:AK30" si="23">0.05*AG29</f>
        <v>13109.25</v>
      </c>
      <c r="AL29" s="115" t="s">
        <v>233</v>
      </c>
      <c r="AM29" s="112">
        <v>2017.0</v>
      </c>
      <c r="AN29" s="59" t="s">
        <v>234</v>
      </c>
      <c r="AO29" s="58">
        <f t="shared" si="22"/>
        <v>2023</v>
      </c>
      <c r="AP29" s="102" t="s">
        <v>156</v>
      </c>
      <c r="AQ29" s="108"/>
      <c r="AR29" s="102" t="s">
        <v>121</v>
      </c>
      <c r="AS29" s="108"/>
      <c r="AT29" s="108"/>
      <c r="AU29" s="108"/>
      <c r="AV29" s="108"/>
      <c r="AW29" s="108"/>
      <c r="AX29" s="108"/>
      <c r="AY29" s="108"/>
      <c r="AZ29" s="108"/>
      <c r="BA29" s="108"/>
      <c r="BB29" s="116">
        <v>44817.0</v>
      </c>
      <c r="BC29" s="116">
        <v>44817.0</v>
      </c>
      <c r="BD29" s="116">
        <v>44817.0</v>
      </c>
      <c r="BE29" s="116">
        <v>44817.0</v>
      </c>
      <c r="BF29" s="116">
        <v>44817.0</v>
      </c>
      <c r="BG29" s="109"/>
      <c r="BH29" s="109"/>
      <c r="BI29" s="109" t="s">
        <v>129</v>
      </c>
    </row>
    <row r="30" ht="15.75" customHeight="1">
      <c r="A30" s="105" t="s">
        <v>173</v>
      </c>
      <c r="B30" s="106" t="s">
        <v>63</v>
      </c>
      <c r="C30" s="107" t="s">
        <v>235</v>
      </c>
      <c r="D30" s="108" t="s">
        <v>92</v>
      </c>
      <c r="E30" s="122" t="s">
        <v>236</v>
      </c>
      <c r="F30" s="112" t="s">
        <v>237</v>
      </c>
      <c r="G30" s="108"/>
      <c r="H30" s="108">
        <v>366.0</v>
      </c>
      <c r="I30" s="108" t="s">
        <v>67</v>
      </c>
      <c r="J30" s="108" t="s">
        <v>96</v>
      </c>
      <c r="K30" s="109" t="s">
        <v>69</v>
      </c>
      <c r="L30" s="124">
        <v>25.0</v>
      </c>
      <c r="M30" s="110">
        <v>50.0</v>
      </c>
      <c r="N30" s="111">
        <v>2018.0</v>
      </c>
      <c r="O30" s="112" t="s">
        <v>238</v>
      </c>
      <c r="P30" s="112" t="s">
        <v>239</v>
      </c>
      <c r="Q30" s="111" t="s">
        <v>85</v>
      </c>
      <c r="R30" s="118" t="s">
        <v>240</v>
      </c>
      <c r="S30" s="111">
        <v>8.0</v>
      </c>
      <c r="T30" s="111">
        <v>7.0</v>
      </c>
      <c r="U30" s="111"/>
      <c r="V30" s="111">
        <v>3.0</v>
      </c>
      <c r="W30" s="111">
        <v>9.0</v>
      </c>
      <c r="X30" s="111">
        <v>3.0</v>
      </c>
      <c r="Y30" s="111">
        <f t="shared" si="20"/>
        <v>15</v>
      </c>
      <c r="Z30" s="64">
        <f t="shared" si="8"/>
        <v>0.5333333333</v>
      </c>
      <c r="AA30" s="111"/>
      <c r="AB30" s="111"/>
      <c r="AC30" s="114">
        <v>506.0</v>
      </c>
      <c r="AD30" s="111">
        <v>1.0</v>
      </c>
      <c r="AE30" s="114">
        <v>495.0</v>
      </c>
      <c r="AF30" s="86" t="s">
        <v>159</v>
      </c>
      <c r="AG30" s="68">
        <v>210650.0</v>
      </c>
      <c r="AH30" s="114">
        <v>142188.75</v>
      </c>
      <c r="AI30" s="114">
        <f t="shared" si="18"/>
        <v>52662.5</v>
      </c>
      <c r="AJ30" s="68">
        <f t="shared" si="12"/>
        <v>5266.25</v>
      </c>
      <c r="AK30" s="68">
        <f t="shared" si="23"/>
        <v>10532.5</v>
      </c>
      <c r="AL30" s="115" t="s">
        <v>241</v>
      </c>
      <c r="AM30" s="112">
        <v>2018.0</v>
      </c>
      <c r="AN30" s="59" t="s">
        <v>155</v>
      </c>
      <c r="AO30" s="58">
        <f t="shared" si="22"/>
        <v>2024</v>
      </c>
      <c r="AP30" s="102" t="s">
        <v>156</v>
      </c>
      <c r="AQ30" s="108"/>
      <c r="AR30" s="89" t="s">
        <v>102</v>
      </c>
      <c r="AS30" s="108"/>
      <c r="AT30" s="108"/>
      <c r="AU30" s="108"/>
      <c r="AV30" s="108"/>
      <c r="AW30" s="108"/>
      <c r="AX30" s="108"/>
      <c r="AY30" s="108"/>
      <c r="AZ30" s="108"/>
      <c r="BA30" s="108"/>
      <c r="BB30" s="116">
        <v>44817.0</v>
      </c>
      <c r="BC30" s="116">
        <v>44817.0</v>
      </c>
      <c r="BD30" s="116">
        <v>44817.0</v>
      </c>
      <c r="BE30" s="116">
        <v>44817.0</v>
      </c>
      <c r="BF30" s="116">
        <v>44817.0</v>
      </c>
      <c r="BG30" s="109"/>
      <c r="BH30" s="109"/>
      <c r="BI30" s="109" t="s">
        <v>129</v>
      </c>
    </row>
    <row r="31" ht="15.75" customHeight="1">
      <c r="A31" s="105" t="s">
        <v>173</v>
      </c>
      <c r="B31" s="106" t="s">
        <v>63</v>
      </c>
      <c r="C31" s="107" t="s">
        <v>242</v>
      </c>
      <c r="D31" s="108" t="s">
        <v>92</v>
      </c>
      <c r="E31" s="108" t="s">
        <v>243</v>
      </c>
      <c r="F31" s="108" t="s">
        <v>244</v>
      </c>
      <c r="G31" s="108" t="s">
        <v>245</v>
      </c>
      <c r="H31" s="108">
        <v>420.0</v>
      </c>
      <c r="I31" s="108" t="s">
        <v>67</v>
      </c>
      <c r="J31" s="108" t="s">
        <v>96</v>
      </c>
      <c r="K31" s="109" t="s">
        <v>69</v>
      </c>
      <c r="L31" s="124">
        <v>40.0</v>
      </c>
      <c r="M31" s="110">
        <v>50.0</v>
      </c>
      <c r="N31" s="111">
        <v>2019.0</v>
      </c>
      <c r="O31" s="108" t="s">
        <v>246</v>
      </c>
      <c r="P31" s="113" t="s">
        <v>247</v>
      </c>
      <c r="Q31" s="111" t="s">
        <v>85</v>
      </c>
      <c r="R31" s="118" t="s">
        <v>248</v>
      </c>
      <c r="S31" s="111">
        <v>8.0</v>
      </c>
      <c r="T31" s="111">
        <v>6.0</v>
      </c>
      <c r="U31" s="111"/>
      <c r="V31" s="111">
        <v>9.0</v>
      </c>
      <c r="W31" s="111">
        <v>4.0</v>
      </c>
      <c r="X31" s="111">
        <v>1.0</v>
      </c>
      <c r="Y31" s="111">
        <f t="shared" si="20"/>
        <v>14</v>
      </c>
      <c r="Z31" s="64">
        <f t="shared" si="8"/>
        <v>0.5714285714</v>
      </c>
      <c r="AA31" s="114">
        <v>100.0</v>
      </c>
      <c r="AB31" s="111">
        <v>1.0</v>
      </c>
      <c r="AC31" s="114">
        <v>339.0</v>
      </c>
      <c r="AD31" s="111">
        <v>1.0</v>
      </c>
      <c r="AE31" s="114">
        <v>339.0</v>
      </c>
      <c r="AF31" s="86" t="str">
        <f t="shared" ref="AF31:AF33" si="24">DATEDIF(#REF!,#REF!,"M")+1</f>
        <v>#REF!</v>
      </c>
      <c r="AG31" s="68">
        <v>261640.0</v>
      </c>
      <c r="AH31" s="114">
        <v>160901.0</v>
      </c>
      <c r="AI31" s="114">
        <f>AG31*0.33</f>
        <v>86341.2</v>
      </c>
      <c r="AJ31" s="68">
        <f t="shared" si="12"/>
        <v>6541</v>
      </c>
      <c r="AK31" s="68">
        <f t="shared" ref="AK31:AK32" si="25">0.03*AG31</f>
        <v>7849.2</v>
      </c>
      <c r="AL31" s="115" t="s">
        <v>249</v>
      </c>
      <c r="AM31" s="112">
        <v>2019.0</v>
      </c>
      <c r="AN31" s="59" t="s">
        <v>155</v>
      </c>
      <c r="AO31" s="58">
        <f t="shared" si="22"/>
        <v>2025</v>
      </c>
      <c r="AP31" s="102" t="s">
        <v>156</v>
      </c>
      <c r="AQ31" s="108"/>
      <c r="AR31" s="102" t="s">
        <v>121</v>
      </c>
      <c r="AS31" s="108"/>
      <c r="AT31" s="108"/>
      <c r="AU31" s="108"/>
      <c r="AV31" s="108"/>
      <c r="AW31" s="108"/>
      <c r="AX31" s="108"/>
      <c r="AY31" s="108"/>
      <c r="AZ31" s="108"/>
      <c r="BA31" s="108"/>
      <c r="BB31" s="116">
        <v>44817.0</v>
      </c>
      <c r="BC31" s="116">
        <v>44817.0</v>
      </c>
      <c r="BD31" s="116">
        <v>44817.0</v>
      </c>
      <c r="BE31" s="116">
        <v>44817.0</v>
      </c>
      <c r="BF31" s="116">
        <v>44817.0</v>
      </c>
      <c r="BG31" s="109"/>
      <c r="BH31" s="109"/>
      <c r="BI31" s="109" t="s">
        <v>129</v>
      </c>
    </row>
    <row r="32" ht="15.75" customHeight="1">
      <c r="A32" s="105" t="s">
        <v>173</v>
      </c>
      <c r="B32" s="106" t="s">
        <v>63</v>
      </c>
      <c r="C32" s="123" t="s">
        <v>250</v>
      </c>
      <c r="D32" s="108" t="s">
        <v>92</v>
      </c>
      <c r="E32" s="108" t="s">
        <v>251</v>
      </c>
      <c r="F32" s="108" t="s">
        <v>227</v>
      </c>
      <c r="G32" s="108"/>
      <c r="H32" s="108">
        <v>390.0</v>
      </c>
      <c r="I32" s="108"/>
      <c r="J32" s="108" t="s">
        <v>96</v>
      </c>
      <c r="K32" s="109" t="s">
        <v>69</v>
      </c>
      <c r="L32" s="124"/>
      <c r="M32" s="110">
        <v>50.0</v>
      </c>
      <c r="N32" s="111"/>
      <c r="O32" s="108"/>
      <c r="P32" s="111"/>
      <c r="Q32" s="111"/>
      <c r="R32" s="111"/>
      <c r="S32" s="111"/>
      <c r="T32" s="111"/>
      <c r="U32" s="111"/>
      <c r="V32" s="111"/>
      <c r="W32" s="111"/>
      <c r="X32" s="111"/>
      <c r="Y32" s="111">
        <f t="shared" si="20"/>
        <v>0</v>
      </c>
      <c r="Z32" s="64" t="str">
        <f t="shared" si="8"/>
        <v>#DIV/0!</v>
      </c>
      <c r="AA32" s="111"/>
      <c r="AB32" s="111"/>
      <c r="AC32" s="111"/>
      <c r="AD32" s="111"/>
      <c r="AE32" s="111"/>
      <c r="AF32" s="86" t="str">
        <f t="shared" si="24"/>
        <v>#REF!</v>
      </c>
      <c r="AG32" s="68" t="str">
        <f>LARGE(AS32:BA32,1)*((AA32*AB32)+(AC32*AD32)+(AE32*AF32))</f>
        <v>#NUM!</v>
      </c>
      <c r="AH32" s="111"/>
      <c r="AI32" s="114" t="str">
        <f t="shared" ref="AI32:AI33" si="26">AG32*0.25</f>
        <v>#NUM!</v>
      </c>
      <c r="AJ32" s="68" t="str">
        <f t="shared" si="12"/>
        <v>#NUM!</v>
      </c>
      <c r="AK32" s="68" t="str">
        <f t="shared" si="25"/>
        <v>#NUM!</v>
      </c>
      <c r="AL32" s="115" t="s">
        <v>252</v>
      </c>
      <c r="AM32" s="112">
        <v>2017.0</v>
      </c>
      <c r="AN32" s="58"/>
      <c r="AO32" s="58">
        <f t="shared" si="22"/>
        <v>2023</v>
      </c>
      <c r="AP32" s="89" t="s">
        <v>88</v>
      </c>
      <c r="AQ32" s="108"/>
      <c r="AR32" s="102" t="s">
        <v>121</v>
      </c>
      <c r="AS32" s="108"/>
      <c r="AT32" s="108"/>
      <c r="AU32" s="108"/>
      <c r="AV32" s="108"/>
      <c r="AW32" s="108"/>
      <c r="AX32" s="108"/>
      <c r="AY32" s="108"/>
      <c r="AZ32" s="108"/>
      <c r="BA32" s="108"/>
      <c r="BB32" s="116">
        <v>44817.0</v>
      </c>
      <c r="BC32" s="116">
        <v>44817.0</v>
      </c>
      <c r="BD32" s="116">
        <v>44817.0</v>
      </c>
      <c r="BE32" s="116">
        <v>44817.0</v>
      </c>
      <c r="BF32" s="116">
        <v>44817.0</v>
      </c>
      <c r="BG32" s="109"/>
      <c r="BH32" s="109"/>
      <c r="BI32" s="109" t="s">
        <v>129</v>
      </c>
    </row>
    <row r="33" ht="15.75" customHeight="1">
      <c r="A33" s="105" t="s">
        <v>173</v>
      </c>
      <c r="B33" s="106" t="s">
        <v>63</v>
      </c>
      <c r="C33" s="107" t="s">
        <v>253</v>
      </c>
      <c r="D33" s="108" t="s">
        <v>92</v>
      </c>
      <c r="E33" s="122" t="s">
        <v>254</v>
      </c>
      <c r="F33" s="112" t="s">
        <v>255</v>
      </c>
      <c r="G33" s="108" t="s">
        <v>256</v>
      </c>
      <c r="H33" s="108">
        <v>375.0</v>
      </c>
      <c r="I33" s="108" t="s">
        <v>67</v>
      </c>
      <c r="J33" s="108" t="s">
        <v>96</v>
      </c>
      <c r="K33" s="109" t="s">
        <v>69</v>
      </c>
      <c r="L33" s="124">
        <v>30.0</v>
      </c>
      <c r="M33" s="110">
        <v>50.0</v>
      </c>
      <c r="N33" s="111">
        <v>2017.0</v>
      </c>
      <c r="O33" s="112" t="s">
        <v>257</v>
      </c>
      <c r="P33" s="113" t="s">
        <v>258</v>
      </c>
      <c r="Q33" s="111" t="s">
        <v>259</v>
      </c>
      <c r="R33" s="118" t="s">
        <v>260</v>
      </c>
      <c r="S33" s="111">
        <v>10.0</v>
      </c>
      <c r="T33" s="111">
        <v>5.0</v>
      </c>
      <c r="U33" s="111"/>
      <c r="V33" s="111">
        <v>2.0</v>
      </c>
      <c r="W33" s="111">
        <v>12.0</v>
      </c>
      <c r="X33" s="111">
        <v>1.0</v>
      </c>
      <c r="Y33" s="111">
        <f t="shared" si="20"/>
        <v>15</v>
      </c>
      <c r="Z33" s="64">
        <f t="shared" si="8"/>
        <v>0.6666666667</v>
      </c>
      <c r="AA33" s="111"/>
      <c r="AB33" s="111"/>
      <c r="AC33" s="114">
        <v>506.0</v>
      </c>
      <c r="AD33" s="111">
        <v>1.0</v>
      </c>
      <c r="AE33" s="114">
        <v>500.5</v>
      </c>
      <c r="AF33" s="86" t="str">
        <f t="shared" si="24"/>
        <v>#REF!</v>
      </c>
      <c r="AG33" s="68">
        <v>255420.0</v>
      </c>
      <c r="AH33" s="114">
        <v>172408.5</v>
      </c>
      <c r="AI33" s="114">
        <f t="shared" si="26"/>
        <v>63855</v>
      </c>
      <c r="AJ33" s="68">
        <f t="shared" si="12"/>
        <v>6385.5</v>
      </c>
      <c r="AK33" s="68">
        <f>0.05*AG33</f>
        <v>12771</v>
      </c>
      <c r="AL33" s="115" t="s">
        <v>261</v>
      </c>
      <c r="AM33" s="112">
        <v>2017.0</v>
      </c>
      <c r="AN33" s="59" t="s">
        <v>234</v>
      </c>
      <c r="AO33" s="58">
        <f t="shared" si="22"/>
        <v>2023</v>
      </c>
      <c r="AP33" s="89" t="s">
        <v>156</v>
      </c>
      <c r="AQ33" s="120"/>
      <c r="AR33" s="89" t="s">
        <v>121</v>
      </c>
      <c r="AS33" s="108"/>
      <c r="AT33" s="108"/>
      <c r="AU33" s="108"/>
      <c r="AV33" s="108"/>
      <c r="AW33" s="108"/>
      <c r="AX33" s="108"/>
      <c r="AY33" s="108"/>
      <c r="AZ33" s="108"/>
      <c r="BA33" s="108"/>
      <c r="BB33" s="116">
        <v>44817.0</v>
      </c>
      <c r="BC33" s="116">
        <v>44817.0</v>
      </c>
      <c r="BD33" s="116">
        <v>44817.0</v>
      </c>
      <c r="BE33" s="116">
        <v>44817.0</v>
      </c>
      <c r="BF33" s="116">
        <v>44817.0</v>
      </c>
      <c r="BG33" s="109"/>
      <c r="BH33" s="109"/>
      <c r="BI33" s="109" t="s">
        <v>129</v>
      </c>
    </row>
    <row r="34" ht="15.75" customHeight="1">
      <c r="A34" s="105" t="s">
        <v>173</v>
      </c>
      <c r="B34" s="106" t="s">
        <v>63</v>
      </c>
      <c r="C34" s="107" t="s">
        <v>262</v>
      </c>
      <c r="D34" s="108" t="s">
        <v>92</v>
      </c>
      <c r="E34" s="108" t="s">
        <v>263</v>
      </c>
      <c r="F34" s="108" t="s">
        <v>264</v>
      </c>
      <c r="G34" s="108" t="s">
        <v>265</v>
      </c>
      <c r="H34" s="108">
        <v>380.0</v>
      </c>
      <c r="I34" s="108" t="s">
        <v>74</v>
      </c>
      <c r="J34" s="108" t="s">
        <v>96</v>
      </c>
      <c r="K34" s="109" t="s">
        <v>69</v>
      </c>
      <c r="L34" s="124">
        <v>38.0</v>
      </c>
      <c r="M34" s="110">
        <v>50.0</v>
      </c>
      <c r="N34" s="111">
        <v>2006.0</v>
      </c>
      <c r="O34" s="112" t="s">
        <v>266</v>
      </c>
      <c r="P34" s="113" t="s">
        <v>267</v>
      </c>
      <c r="Q34" s="111" t="s">
        <v>259</v>
      </c>
      <c r="R34" s="111" t="s">
        <v>86</v>
      </c>
      <c r="S34" s="111">
        <v>10.0</v>
      </c>
      <c r="T34" s="111">
        <v>2.0</v>
      </c>
      <c r="U34" s="111"/>
      <c r="V34" s="111">
        <v>6.0</v>
      </c>
      <c r="W34" s="111">
        <v>4.0</v>
      </c>
      <c r="X34" s="111">
        <v>2.0</v>
      </c>
      <c r="Y34" s="111">
        <f t="shared" si="20"/>
        <v>12</v>
      </c>
      <c r="Z34" s="64">
        <f t="shared" si="8"/>
        <v>0.8333333333</v>
      </c>
      <c r="AA34" s="114">
        <v>100.0</v>
      </c>
      <c r="AB34" s="111">
        <v>1.0</v>
      </c>
      <c r="AC34" s="114">
        <v>339.0</v>
      </c>
      <c r="AD34" s="111">
        <v>1.0</v>
      </c>
      <c r="AE34" s="114">
        <v>339.0</v>
      </c>
      <c r="AF34" s="86" t="s">
        <v>100</v>
      </c>
      <c r="AG34" s="68">
        <v>248558.0</v>
      </c>
      <c r="AH34" s="114">
        <v>152863.17</v>
      </c>
      <c r="AI34" s="114">
        <f>AG34*0.33</f>
        <v>82024.14</v>
      </c>
      <c r="AJ34" s="68">
        <f t="shared" si="12"/>
        <v>6213.95</v>
      </c>
      <c r="AK34" s="68">
        <f t="shared" ref="AK34:AK39" si="27">0.03*AG34</f>
        <v>7456.74</v>
      </c>
      <c r="AL34" s="115" t="s">
        <v>268</v>
      </c>
      <c r="AM34" s="112">
        <v>2013.0</v>
      </c>
      <c r="AN34" s="69" t="s">
        <v>269</v>
      </c>
      <c r="AO34" s="58">
        <f t="shared" si="22"/>
        <v>2019</v>
      </c>
      <c r="AP34" s="102" t="s">
        <v>156</v>
      </c>
      <c r="AQ34" s="120"/>
      <c r="AR34" s="89" t="s">
        <v>102</v>
      </c>
      <c r="AS34" s="108"/>
      <c r="AT34" s="108"/>
      <c r="AU34" s="108"/>
      <c r="AV34" s="108"/>
      <c r="AW34" s="108"/>
      <c r="AX34" s="108"/>
      <c r="AY34" s="108"/>
      <c r="AZ34" s="108"/>
      <c r="BA34" s="108"/>
      <c r="BB34" s="116">
        <v>44817.0</v>
      </c>
      <c r="BC34" s="116">
        <v>44817.0</v>
      </c>
      <c r="BD34" s="116">
        <v>44817.0</v>
      </c>
      <c r="BE34" s="116">
        <v>44817.0</v>
      </c>
      <c r="BF34" s="116">
        <v>44817.0</v>
      </c>
      <c r="BG34" s="109"/>
      <c r="BH34" s="109"/>
      <c r="BI34" s="109" t="s">
        <v>129</v>
      </c>
    </row>
    <row r="35" ht="15.75" customHeight="1">
      <c r="A35" s="125" t="s">
        <v>173</v>
      </c>
      <c r="B35" s="126" t="s">
        <v>63</v>
      </c>
      <c r="C35" s="127" t="s">
        <v>270</v>
      </c>
      <c r="D35" s="108" t="s">
        <v>92</v>
      </c>
      <c r="E35" s="128" t="s">
        <v>271</v>
      </c>
      <c r="F35" s="129" t="s">
        <v>272</v>
      </c>
      <c r="G35" s="129"/>
      <c r="H35" s="129">
        <v>380.0</v>
      </c>
      <c r="I35" s="129" t="s">
        <v>273</v>
      </c>
      <c r="J35" s="129" t="s">
        <v>68</v>
      </c>
      <c r="K35" s="129" t="s">
        <v>69</v>
      </c>
      <c r="L35" s="124">
        <v>25.0</v>
      </c>
      <c r="M35" s="129">
        <v>50.0</v>
      </c>
      <c r="N35" s="129">
        <v>2008.0</v>
      </c>
      <c r="O35" s="129"/>
      <c r="P35" s="129"/>
      <c r="Q35" s="129"/>
      <c r="R35" s="129"/>
      <c r="S35" s="130">
        <v>8.0</v>
      </c>
      <c r="T35" s="130">
        <v>3.0</v>
      </c>
      <c r="U35" s="130"/>
      <c r="V35" s="130">
        <v>1.0</v>
      </c>
      <c r="W35" s="130">
        <v>8.0</v>
      </c>
      <c r="X35" s="130">
        <v>2.0</v>
      </c>
      <c r="Y35" s="111">
        <f t="shared" si="20"/>
        <v>11</v>
      </c>
      <c r="Z35" s="131">
        <f t="shared" si="8"/>
        <v>0.7272727273</v>
      </c>
      <c r="AA35" s="129"/>
      <c r="AB35" s="129"/>
      <c r="AC35" s="129"/>
      <c r="AD35" s="129"/>
      <c r="AE35" s="129"/>
      <c r="AF35" s="132" t="str">
        <f>IF(#REF!&gt;TODAY(),DATEDIF(#REF!,TODAY(),"M")+1,DATEDIF(#REF!,#REF!,"M")+1)</f>
        <v>#REF!</v>
      </c>
      <c r="AG35" s="133" t="str">
        <f>LARGE(#REF!,1)*((AA35*AB35)+(AC35*AD35)+(AE35*AF35))</f>
        <v>#REF!</v>
      </c>
      <c r="AH35" s="129"/>
      <c r="AI35" s="114" t="str">
        <f t="shared" ref="AI35:AI38" si="28">AG35*0.25</f>
        <v>#REF!</v>
      </c>
      <c r="AJ35" s="133" t="str">
        <f t="shared" si="12"/>
        <v>#REF!</v>
      </c>
      <c r="AK35" s="133" t="str">
        <f t="shared" si="27"/>
        <v>#REF!</v>
      </c>
      <c r="AL35" s="134" t="s">
        <v>274</v>
      </c>
      <c r="AM35" s="135">
        <v>2015.0</v>
      </c>
      <c r="AN35" s="136" t="s">
        <v>120</v>
      </c>
      <c r="AO35" s="137">
        <v>2021.0</v>
      </c>
      <c r="AP35" s="138" t="s">
        <v>88</v>
      </c>
      <c r="AQ35" s="139"/>
      <c r="AR35" s="140" t="s">
        <v>121</v>
      </c>
      <c r="AS35" s="129"/>
      <c r="AT35" s="129"/>
      <c r="AU35" s="129"/>
      <c r="AV35" s="129"/>
      <c r="AW35" s="141"/>
      <c r="AX35" s="141"/>
      <c r="AY35" s="141"/>
      <c r="AZ35" s="141"/>
      <c r="BA35" s="141"/>
      <c r="BB35" s="142">
        <v>44817.0</v>
      </c>
      <c r="BC35" s="142">
        <v>44817.0</v>
      </c>
      <c r="BD35" s="142">
        <v>44817.0</v>
      </c>
      <c r="BE35" s="142">
        <v>44817.0</v>
      </c>
      <c r="BF35" s="142">
        <v>44817.0</v>
      </c>
      <c r="BG35" s="141"/>
      <c r="BH35" s="141"/>
      <c r="BI35" s="143" t="s">
        <v>129</v>
      </c>
    </row>
    <row r="36" ht="15.75" customHeight="1">
      <c r="A36" s="144" t="s">
        <v>173</v>
      </c>
      <c r="B36" s="145" t="s">
        <v>63</v>
      </c>
      <c r="C36" s="107" t="s">
        <v>275</v>
      </c>
      <c r="D36" s="108" t="s">
        <v>92</v>
      </c>
      <c r="E36" s="110" t="s">
        <v>276</v>
      </c>
      <c r="F36" s="110" t="s">
        <v>277</v>
      </c>
      <c r="G36" s="110"/>
      <c r="H36" s="110">
        <v>360.0</v>
      </c>
      <c r="I36" s="110"/>
      <c r="J36" s="129" t="s">
        <v>68</v>
      </c>
      <c r="K36" s="110" t="s">
        <v>69</v>
      </c>
      <c r="L36" s="124"/>
      <c r="M36" s="110">
        <v>50.0</v>
      </c>
      <c r="N36" s="129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1">
        <f t="shared" ref="Y36:Y39" si="29">SUM(S36:W36)</f>
        <v>0</v>
      </c>
      <c r="Z36" s="146" t="str">
        <f t="shared" si="8"/>
        <v>#DIV/0!</v>
      </c>
      <c r="AA36" s="110"/>
      <c r="AB36" s="110"/>
      <c r="AC36" s="110"/>
      <c r="AD36" s="110"/>
      <c r="AE36" s="110"/>
      <c r="AF36" s="147" t="str">
        <f t="shared" ref="AF36:AF39" si="30">DATEDIF(#REF!,#REF!,"M")+1</f>
        <v>#REF!</v>
      </c>
      <c r="AG36" s="148" t="str">
        <f>LARGE(AS216:BA216,1)*((AA36*AB36)+(AC36*AD36)+(AE36*AF36))</f>
        <v>#NUM!</v>
      </c>
      <c r="AH36" s="110"/>
      <c r="AI36" s="114" t="str">
        <f t="shared" si="28"/>
        <v>#NUM!</v>
      </c>
      <c r="AJ36" s="148" t="str">
        <f t="shared" si="12"/>
        <v>#NUM!</v>
      </c>
      <c r="AK36" s="148" t="str">
        <f t="shared" si="27"/>
        <v>#NUM!</v>
      </c>
      <c r="AL36" s="149" t="s">
        <v>278</v>
      </c>
      <c r="AM36" s="112">
        <v>2019.0</v>
      </c>
      <c r="AN36" s="61"/>
      <c r="AO36" s="61">
        <f t="shared" ref="AO36:AO39" si="31">AM36+6</f>
        <v>2025</v>
      </c>
      <c r="AP36" s="150" t="s">
        <v>156</v>
      </c>
      <c r="AQ36" s="110"/>
      <c r="AR36" s="151" t="s">
        <v>121</v>
      </c>
      <c r="AS36" s="110"/>
      <c r="AT36" s="110"/>
      <c r="AU36" s="110"/>
      <c r="AV36" s="110"/>
      <c r="AW36" s="152"/>
      <c r="AX36" s="152"/>
      <c r="AY36" s="152"/>
      <c r="AZ36" s="152"/>
      <c r="BA36" s="152"/>
      <c r="BB36" s="153">
        <v>44817.0</v>
      </c>
      <c r="BC36" s="153">
        <v>44817.0</v>
      </c>
      <c r="BD36" s="153">
        <v>44817.0</v>
      </c>
      <c r="BE36" s="153">
        <v>44817.0</v>
      </c>
      <c r="BF36" s="153">
        <v>44817.0</v>
      </c>
      <c r="BG36" s="152"/>
      <c r="BH36" s="152"/>
      <c r="BI36" s="154" t="s">
        <v>129</v>
      </c>
    </row>
    <row r="37" ht="15.75" customHeight="1">
      <c r="A37" s="144" t="s">
        <v>173</v>
      </c>
      <c r="B37" s="145" t="s">
        <v>63</v>
      </c>
      <c r="C37" s="107" t="s">
        <v>279</v>
      </c>
      <c r="D37" s="108" t="s">
        <v>92</v>
      </c>
      <c r="E37" s="110" t="s">
        <v>280</v>
      </c>
      <c r="F37" s="110"/>
      <c r="G37" s="110"/>
      <c r="H37" s="110">
        <v>405.0</v>
      </c>
      <c r="I37" s="110"/>
      <c r="J37" s="129" t="s">
        <v>68</v>
      </c>
      <c r="K37" s="110" t="s">
        <v>69</v>
      </c>
      <c r="L37" s="124"/>
      <c r="M37" s="110">
        <v>50.0</v>
      </c>
      <c r="N37" s="129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1">
        <f t="shared" si="29"/>
        <v>0</v>
      </c>
      <c r="Z37" s="146" t="str">
        <f t="shared" si="8"/>
        <v>#DIV/0!</v>
      </c>
      <c r="AA37" s="110"/>
      <c r="AB37" s="110"/>
      <c r="AC37" s="110"/>
      <c r="AD37" s="110"/>
      <c r="AE37" s="110"/>
      <c r="AF37" s="147" t="str">
        <f t="shared" si="30"/>
        <v>#REF!</v>
      </c>
      <c r="AG37" s="148" t="str">
        <f>LARGE(#REF!,1)*((AA37*AB37)+(AC37*AD37)+(AE37*AF37))</f>
        <v>#REF!</v>
      </c>
      <c r="AH37" s="110"/>
      <c r="AI37" s="114" t="str">
        <f t="shared" si="28"/>
        <v>#REF!</v>
      </c>
      <c r="AJ37" s="148" t="str">
        <f t="shared" si="12"/>
        <v>#REF!</v>
      </c>
      <c r="AK37" s="148" t="str">
        <f t="shared" si="27"/>
        <v>#REF!</v>
      </c>
      <c r="AL37" s="149" t="s">
        <v>281</v>
      </c>
      <c r="AM37" s="112">
        <v>2019.0</v>
      </c>
      <c r="AN37" s="61"/>
      <c r="AO37" s="61">
        <f t="shared" si="31"/>
        <v>2025</v>
      </c>
      <c r="AP37" s="150" t="s">
        <v>156</v>
      </c>
      <c r="AQ37" s="110"/>
      <c r="AR37" s="151" t="s">
        <v>121</v>
      </c>
      <c r="AS37" s="110"/>
      <c r="AT37" s="110"/>
      <c r="AU37" s="110"/>
      <c r="AV37" s="110"/>
      <c r="AW37" s="152"/>
      <c r="AX37" s="152"/>
      <c r="AY37" s="152"/>
      <c r="AZ37" s="152"/>
      <c r="BA37" s="152"/>
      <c r="BB37" s="153">
        <v>44817.0</v>
      </c>
      <c r="BC37" s="153">
        <v>44817.0</v>
      </c>
      <c r="BD37" s="153">
        <v>44817.0</v>
      </c>
      <c r="BE37" s="153">
        <v>44817.0</v>
      </c>
      <c r="BF37" s="153">
        <v>44817.0</v>
      </c>
      <c r="BG37" s="152"/>
      <c r="BH37" s="152"/>
      <c r="BI37" s="154" t="s">
        <v>129</v>
      </c>
    </row>
    <row r="38" ht="15.75" customHeight="1">
      <c r="A38" s="144" t="s">
        <v>173</v>
      </c>
      <c r="B38" s="145" t="s">
        <v>63</v>
      </c>
      <c r="C38" s="107" t="s">
        <v>282</v>
      </c>
      <c r="D38" s="108" t="s">
        <v>92</v>
      </c>
      <c r="E38" s="110" t="s">
        <v>283</v>
      </c>
      <c r="F38" s="110" t="s">
        <v>284</v>
      </c>
      <c r="G38" s="110"/>
      <c r="H38" s="110">
        <v>360.0</v>
      </c>
      <c r="I38" s="110"/>
      <c r="J38" s="129" t="s">
        <v>68</v>
      </c>
      <c r="K38" s="110" t="s">
        <v>97</v>
      </c>
      <c r="L38" s="124"/>
      <c r="M38" s="110">
        <v>50.0</v>
      </c>
      <c r="N38" s="129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1">
        <f t="shared" si="29"/>
        <v>0</v>
      </c>
      <c r="Z38" s="146" t="str">
        <f t="shared" si="8"/>
        <v>#DIV/0!</v>
      </c>
      <c r="AA38" s="110"/>
      <c r="AB38" s="110"/>
      <c r="AC38" s="110"/>
      <c r="AD38" s="110"/>
      <c r="AE38" s="110"/>
      <c r="AF38" s="147" t="str">
        <f t="shared" si="30"/>
        <v>#REF!</v>
      </c>
      <c r="AG38" s="148" t="str">
        <f>LARGE(AS217:BA217,1)*((AA38*AB38)+(AC38*AD38)+(AE38*AF38))</f>
        <v>#NUM!</v>
      </c>
      <c r="AH38" s="110"/>
      <c r="AI38" s="114" t="str">
        <f t="shared" si="28"/>
        <v>#NUM!</v>
      </c>
      <c r="AJ38" s="148" t="str">
        <f t="shared" si="12"/>
        <v>#NUM!</v>
      </c>
      <c r="AK38" s="148" t="str">
        <f t="shared" si="27"/>
        <v>#NUM!</v>
      </c>
      <c r="AL38" s="149" t="s">
        <v>285</v>
      </c>
      <c r="AM38" s="112">
        <v>2019.0</v>
      </c>
      <c r="AN38" s="61"/>
      <c r="AO38" s="61">
        <f t="shared" si="31"/>
        <v>2025</v>
      </c>
      <c r="AP38" s="150" t="s">
        <v>156</v>
      </c>
      <c r="AQ38" s="110"/>
      <c r="AR38" s="96" t="s">
        <v>102</v>
      </c>
      <c r="AS38" s="110"/>
      <c r="AT38" s="110"/>
      <c r="AU38" s="110"/>
      <c r="AV38" s="110"/>
      <c r="AW38" s="152"/>
      <c r="AX38" s="152"/>
      <c r="AY38" s="152"/>
      <c r="AZ38" s="152"/>
      <c r="BA38" s="152"/>
      <c r="BB38" s="153">
        <v>44817.0</v>
      </c>
      <c r="BC38" s="153">
        <v>44817.0</v>
      </c>
      <c r="BD38" s="153">
        <v>44817.0</v>
      </c>
      <c r="BE38" s="153">
        <v>44817.0</v>
      </c>
      <c r="BF38" s="153">
        <v>44817.0</v>
      </c>
      <c r="BG38" s="152"/>
      <c r="BH38" s="152"/>
      <c r="BI38" s="154" t="s">
        <v>129</v>
      </c>
    </row>
    <row r="39" ht="15.75" customHeight="1">
      <c r="A39" s="144" t="s">
        <v>173</v>
      </c>
      <c r="B39" s="145" t="s">
        <v>63</v>
      </c>
      <c r="C39" s="107" t="s">
        <v>286</v>
      </c>
      <c r="D39" s="108" t="s">
        <v>92</v>
      </c>
      <c r="E39" s="110" t="s">
        <v>283</v>
      </c>
      <c r="F39" s="110" t="s">
        <v>284</v>
      </c>
      <c r="G39" s="110"/>
      <c r="H39" s="110">
        <v>360.0</v>
      </c>
      <c r="I39" s="110"/>
      <c r="J39" s="129" t="s">
        <v>68</v>
      </c>
      <c r="K39" s="110" t="s">
        <v>69</v>
      </c>
      <c r="L39" s="124"/>
      <c r="M39" s="110">
        <v>50.0</v>
      </c>
      <c r="N39" s="129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1">
        <f t="shared" si="29"/>
        <v>0</v>
      </c>
      <c r="Z39" s="146" t="str">
        <f t="shared" si="8"/>
        <v>#DIV/0!</v>
      </c>
      <c r="AA39" s="110"/>
      <c r="AB39" s="110"/>
      <c r="AC39" s="110"/>
      <c r="AD39" s="110"/>
      <c r="AE39" s="110"/>
      <c r="AF39" s="147" t="str">
        <f t="shared" si="30"/>
        <v>#REF!</v>
      </c>
      <c r="AG39" s="148" t="str">
        <f>LARGE(#REF!,1)*((AA39*AB39)+(AC39*AD39)+(AE39*AF39))</f>
        <v>#REF!</v>
      </c>
      <c r="AH39" s="110"/>
      <c r="AI39" s="155">
        <f>AA39*0.2</f>
        <v>0</v>
      </c>
      <c r="AJ39" s="148" t="str">
        <f t="shared" si="12"/>
        <v>#REF!</v>
      </c>
      <c r="AK39" s="148" t="str">
        <f t="shared" si="27"/>
        <v>#REF!</v>
      </c>
      <c r="AL39" s="149" t="s">
        <v>287</v>
      </c>
      <c r="AM39" s="112">
        <v>2019.0</v>
      </c>
      <c r="AN39" s="61"/>
      <c r="AO39" s="61">
        <f t="shared" si="31"/>
        <v>2025</v>
      </c>
      <c r="AP39" s="150" t="s">
        <v>156</v>
      </c>
      <c r="AQ39" s="110"/>
      <c r="AR39" s="151" t="s">
        <v>121</v>
      </c>
      <c r="AS39" s="110"/>
      <c r="AT39" s="110"/>
      <c r="AU39" s="110"/>
      <c r="AV39" s="110"/>
      <c r="AW39" s="152"/>
      <c r="AX39" s="152"/>
      <c r="AY39" s="152"/>
      <c r="AZ39" s="152"/>
      <c r="BA39" s="152"/>
      <c r="BB39" s="153">
        <v>44817.0</v>
      </c>
      <c r="BC39" s="153">
        <v>44817.0</v>
      </c>
      <c r="BD39" s="153">
        <v>44817.0</v>
      </c>
      <c r="BE39" s="153">
        <v>44817.0</v>
      </c>
      <c r="BF39" s="153">
        <v>44817.0</v>
      </c>
      <c r="BG39" s="152"/>
      <c r="BH39" s="152"/>
      <c r="BI39" s="154" t="s">
        <v>129</v>
      </c>
    </row>
    <row r="40" ht="15.75" customHeight="1">
      <c r="A40" s="144" t="s">
        <v>173</v>
      </c>
      <c r="B40" s="156" t="s">
        <v>63</v>
      </c>
      <c r="C40" s="157" t="s">
        <v>288</v>
      </c>
      <c r="D40" s="112" t="s">
        <v>72</v>
      </c>
      <c r="E40" s="112" t="s">
        <v>243</v>
      </c>
      <c r="F40" s="112"/>
      <c r="G40" s="112"/>
      <c r="H40" s="112">
        <v>360.0</v>
      </c>
      <c r="I40" s="108" t="s">
        <v>67</v>
      </c>
      <c r="J40" s="129" t="s">
        <v>68</v>
      </c>
      <c r="K40" s="112" t="s">
        <v>97</v>
      </c>
      <c r="L40" s="158">
        <v>20.0</v>
      </c>
      <c r="M40" s="112">
        <v>30.0</v>
      </c>
      <c r="N40" s="135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8"/>
      <c r="Z40" s="159"/>
      <c r="AA40" s="112"/>
      <c r="AB40" s="112"/>
      <c r="AC40" s="112"/>
      <c r="AD40" s="112"/>
      <c r="AE40" s="112"/>
      <c r="AF40" s="160"/>
      <c r="AG40" s="161"/>
      <c r="AH40" s="112"/>
      <c r="AI40" s="162"/>
      <c r="AJ40" s="161"/>
      <c r="AK40" s="161"/>
      <c r="AL40" s="163"/>
      <c r="AM40" s="112"/>
      <c r="AN40" s="59"/>
      <c r="AO40" s="59"/>
      <c r="AP40" s="164"/>
      <c r="AQ40" s="163"/>
      <c r="AR40" s="98"/>
      <c r="AS40" s="112"/>
      <c r="AT40" s="112"/>
      <c r="AU40" s="112"/>
      <c r="AV40" s="112"/>
      <c r="AW40" s="165"/>
      <c r="AX40" s="165"/>
      <c r="AY40" s="165"/>
      <c r="AZ40" s="165"/>
      <c r="BA40" s="165"/>
      <c r="BB40" s="166"/>
      <c r="BC40" s="166"/>
      <c r="BD40" s="166"/>
      <c r="BE40" s="166"/>
      <c r="BF40" s="166"/>
      <c r="BG40" s="165"/>
      <c r="BH40" s="165"/>
      <c r="BI40" s="112"/>
    </row>
    <row r="41" ht="15.75" customHeight="1">
      <c r="A41" s="144" t="s">
        <v>173</v>
      </c>
      <c r="B41" s="156" t="s">
        <v>63</v>
      </c>
      <c r="C41" s="157" t="s">
        <v>289</v>
      </c>
      <c r="D41" s="112" t="s">
        <v>290</v>
      </c>
      <c r="E41" s="112" t="s">
        <v>291</v>
      </c>
      <c r="F41" s="112"/>
      <c r="G41" s="112"/>
      <c r="H41" s="112">
        <v>360.0</v>
      </c>
      <c r="I41" s="108" t="s">
        <v>67</v>
      </c>
      <c r="J41" s="129" t="s">
        <v>68</v>
      </c>
      <c r="K41" s="110" t="s">
        <v>69</v>
      </c>
      <c r="L41" s="158">
        <v>25.0</v>
      </c>
      <c r="M41" s="112">
        <v>50.0</v>
      </c>
      <c r="N41" s="135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8"/>
      <c r="Z41" s="159"/>
      <c r="AA41" s="112"/>
      <c r="AB41" s="112"/>
      <c r="AC41" s="112"/>
      <c r="AD41" s="112"/>
      <c r="AE41" s="112"/>
      <c r="AF41" s="160"/>
      <c r="AG41" s="161"/>
      <c r="AH41" s="112"/>
      <c r="AI41" s="162"/>
      <c r="AJ41" s="161"/>
      <c r="AK41" s="161"/>
      <c r="AL41" s="163"/>
      <c r="AM41" s="112"/>
      <c r="AN41" s="59"/>
      <c r="AO41" s="59"/>
      <c r="AP41" s="164"/>
      <c r="AQ41" s="163"/>
      <c r="AR41" s="98"/>
      <c r="AS41" s="112"/>
      <c r="AT41" s="112"/>
      <c r="AU41" s="112"/>
      <c r="AV41" s="112"/>
      <c r="AW41" s="165"/>
      <c r="AX41" s="165"/>
      <c r="AY41" s="165"/>
      <c r="AZ41" s="165"/>
      <c r="BA41" s="165"/>
      <c r="BB41" s="166"/>
      <c r="BC41" s="166"/>
      <c r="BD41" s="166"/>
      <c r="BE41" s="166"/>
      <c r="BF41" s="166"/>
      <c r="BG41" s="165"/>
      <c r="BH41" s="165"/>
      <c r="BI41" s="112"/>
    </row>
    <row r="42" ht="15.75" customHeight="1">
      <c r="A42" s="144" t="s">
        <v>173</v>
      </c>
      <c r="B42" s="156" t="s">
        <v>63</v>
      </c>
      <c r="C42" s="157" t="s">
        <v>292</v>
      </c>
      <c r="D42" s="112" t="s">
        <v>72</v>
      </c>
      <c r="E42" s="112" t="s">
        <v>293</v>
      </c>
      <c r="F42" s="112"/>
      <c r="G42" s="112"/>
      <c r="H42" s="112">
        <v>360.0</v>
      </c>
      <c r="I42" s="112" t="s">
        <v>74</v>
      </c>
      <c r="J42" s="135" t="s">
        <v>68</v>
      </c>
      <c r="K42" s="112" t="s">
        <v>69</v>
      </c>
      <c r="L42" s="158">
        <v>38.0</v>
      </c>
      <c r="M42" s="112">
        <v>50.0</v>
      </c>
      <c r="N42" s="135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8"/>
      <c r="Z42" s="159"/>
      <c r="AA42" s="112"/>
      <c r="AB42" s="112"/>
      <c r="AC42" s="112"/>
      <c r="AD42" s="112"/>
      <c r="AE42" s="112"/>
      <c r="AF42" s="160"/>
      <c r="AG42" s="161"/>
      <c r="AH42" s="112"/>
      <c r="AI42" s="162"/>
      <c r="AJ42" s="161"/>
      <c r="AK42" s="161"/>
      <c r="AL42" s="163"/>
      <c r="AM42" s="112"/>
      <c r="AN42" s="59"/>
      <c r="AO42" s="59"/>
      <c r="AP42" s="164"/>
      <c r="AQ42" s="163"/>
      <c r="AR42" s="98"/>
      <c r="AS42" s="112"/>
      <c r="AT42" s="112"/>
      <c r="AU42" s="112"/>
      <c r="AV42" s="112"/>
      <c r="AW42" s="165"/>
      <c r="AX42" s="165"/>
      <c r="AY42" s="165"/>
      <c r="AZ42" s="165"/>
      <c r="BA42" s="165"/>
      <c r="BB42" s="166"/>
      <c r="BC42" s="166"/>
      <c r="BD42" s="166"/>
      <c r="BE42" s="166"/>
      <c r="BF42" s="166"/>
      <c r="BG42" s="165"/>
      <c r="BH42" s="165"/>
      <c r="BI42" s="112"/>
    </row>
    <row r="43" ht="15.75" customHeight="1">
      <c r="A43" s="144" t="s">
        <v>173</v>
      </c>
      <c r="B43" s="156" t="s">
        <v>63</v>
      </c>
      <c r="C43" s="157" t="s">
        <v>294</v>
      </c>
      <c r="D43" s="112" t="s">
        <v>295</v>
      </c>
      <c r="E43" s="112" t="s">
        <v>296</v>
      </c>
      <c r="F43" s="112"/>
      <c r="G43" s="112"/>
      <c r="H43" s="112">
        <v>360.0</v>
      </c>
      <c r="I43" s="112" t="s">
        <v>74</v>
      </c>
      <c r="J43" s="135" t="s">
        <v>68</v>
      </c>
      <c r="K43" s="112" t="s">
        <v>69</v>
      </c>
      <c r="L43" s="158">
        <v>35.0</v>
      </c>
      <c r="M43" s="112">
        <v>50.0</v>
      </c>
      <c r="N43" s="135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8"/>
      <c r="Z43" s="159"/>
      <c r="AA43" s="112"/>
      <c r="AB43" s="112"/>
      <c r="AC43" s="112"/>
      <c r="AD43" s="112"/>
      <c r="AE43" s="112"/>
      <c r="AF43" s="160"/>
      <c r="AG43" s="161"/>
      <c r="AH43" s="112"/>
      <c r="AI43" s="162"/>
      <c r="AJ43" s="161"/>
      <c r="AK43" s="161"/>
      <c r="AL43" s="163"/>
      <c r="AM43" s="112"/>
      <c r="AN43" s="59"/>
      <c r="AO43" s="59"/>
      <c r="AP43" s="164"/>
      <c r="AQ43" s="163"/>
      <c r="AR43" s="98"/>
      <c r="AS43" s="112"/>
      <c r="AT43" s="112"/>
      <c r="AU43" s="112"/>
      <c r="AV43" s="112"/>
      <c r="AW43" s="165"/>
      <c r="AX43" s="165"/>
      <c r="AY43" s="165"/>
      <c r="AZ43" s="165"/>
      <c r="BA43" s="165"/>
      <c r="BB43" s="166"/>
      <c r="BC43" s="166"/>
      <c r="BD43" s="166"/>
      <c r="BE43" s="166"/>
      <c r="BF43" s="166"/>
      <c r="BG43" s="165"/>
      <c r="BH43" s="165"/>
      <c r="BI43" s="112"/>
    </row>
    <row r="44" ht="15.75" customHeight="1">
      <c r="A44" s="144" t="s">
        <v>173</v>
      </c>
      <c r="B44" s="156" t="s">
        <v>63</v>
      </c>
      <c r="C44" s="157" t="s">
        <v>297</v>
      </c>
      <c r="D44" s="112" t="s">
        <v>298</v>
      </c>
      <c r="E44" s="112" t="s">
        <v>243</v>
      </c>
      <c r="F44" s="112"/>
      <c r="G44" s="112"/>
      <c r="H44" s="112">
        <v>390.0</v>
      </c>
      <c r="I44" s="112" t="s">
        <v>67</v>
      </c>
      <c r="J44" s="135" t="s">
        <v>68</v>
      </c>
      <c r="K44" s="112" t="s">
        <v>97</v>
      </c>
      <c r="L44" s="158">
        <v>30.0</v>
      </c>
      <c r="M44" s="112">
        <v>150.0</v>
      </c>
      <c r="N44" s="135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8"/>
      <c r="Z44" s="159"/>
      <c r="AA44" s="112"/>
      <c r="AB44" s="112"/>
      <c r="AC44" s="112"/>
      <c r="AD44" s="112"/>
      <c r="AE44" s="112"/>
      <c r="AF44" s="160"/>
      <c r="AG44" s="161"/>
      <c r="AH44" s="112"/>
      <c r="AI44" s="162"/>
      <c r="AJ44" s="161"/>
      <c r="AK44" s="161"/>
      <c r="AL44" s="163"/>
      <c r="AM44" s="112"/>
      <c r="AN44" s="59"/>
      <c r="AO44" s="59"/>
      <c r="AP44" s="164"/>
      <c r="AQ44" s="163"/>
      <c r="AR44" s="98"/>
      <c r="AS44" s="112"/>
      <c r="AT44" s="112"/>
      <c r="AU44" s="112"/>
      <c r="AV44" s="112"/>
      <c r="AW44" s="165"/>
      <c r="AX44" s="165"/>
      <c r="AY44" s="165"/>
      <c r="AZ44" s="165"/>
      <c r="BA44" s="165"/>
      <c r="BB44" s="166"/>
      <c r="BC44" s="166"/>
      <c r="BD44" s="166"/>
      <c r="BE44" s="166"/>
      <c r="BF44" s="166"/>
      <c r="BG44" s="165"/>
      <c r="BH44" s="165"/>
      <c r="BI44" s="112"/>
    </row>
    <row r="45" ht="15.75" customHeight="1">
      <c r="A45" s="144" t="s">
        <v>173</v>
      </c>
      <c r="B45" s="156" t="s">
        <v>63</v>
      </c>
      <c r="C45" s="157" t="s">
        <v>299</v>
      </c>
      <c r="D45" s="112" t="s">
        <v>298</v>
      </c>
      <c r="E45" s="112" t="s">
        <v>300</v>
      </c>
      <c r="F45" s="112"/>
      <c r="G45" s="112"/>
      <c r="H45" s="112">
        <v>375.0</v>
      </c>
      <c r="I45" s="112" t="s">
        <v>67</v>
      </c>
      <c r="J45" s="135" t="s">
        <v>68</v>
      </c>
      <c r="K45" s="112" t="s">
        <v>69</v>
      </c>
      <c r="L45" s="158">
        <v>25.0</v>
      </c>
      <c r="M45" s="112">
        <v>50.0</v>
      </c>
      <c r="N45" s="135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8"/>
      <c r="Z45" s="159"/>
      <c r="AA45" s="112"/>
      <c r="AB45" s="112"/>
      <c r="AC45" s="112"/>
      <c r="AD45" s="112"/>
      <c r="AE45" s="112"/>
      <c r="AF45" s="160"/>
      <c r="AG45" s="161"/>
      <c r="AH45" s="112"/>
      <c r="AI45" s="162"/>
      <c r="AJ45" s="161"/>
      <c r="AK45" s="161"/>
      <c r="AL45" s="163"/>
      <c r="AM45" s="112"/>
      <c r="AN45" s="59"/>
      <c r="AO45" s="59"/>
      <c r="AP45" s="164"/>
      <c r="AQ45" s="163"/>
      <c r="AR45" s="98"/>
      <c r="AS45" s="112"/>
      <c r="AT45" s="112"/>
      <c r="AU45" s="112"/>
      <c r="AV45" s="112"/>
      <c r="AW45" s="165"/>
      <c r="AX45" s="165"/>
      <c r="AY45" s="165"/>
      <c r="AZ45" s="165"/>
      <c r="BA45" s="165"/>
      <c r="BB45" s="166"/>
      <c r="BC45" s="166"/>
      <c r="BD45" s="166"/>
      <c r="BE45" s="166"/>
      <c r="BF45" s="166"/>
      <c r="BG45" s="165"/>
      <c r="BH45" s="165"/>
      <c r="BI45" s="112"/>
    </row>
    <row r="46" ht="15.75" customHeight="1">
      <c r="A46" s="144" t="s">
        <v>173</v>
      </c>
      <c r="B46" s="167" t="s">
        <v>63</v>
      </c>
      <c r="C46" s="157" t="s">
        <v>301</v>
      </c>
      <c r="D46" s="108" t="s">
        <v>92</v>
      </c>
      <c r="E46" s="110" t="s">
        <v>302</v>
      </c>
      <c r="F46" s="112" t="s">
        <v>303</v>
      </c>
      <c r="G46" s="110"/>
      <c r="H46" s="110">
        <v>360.0</v>
      </c>
      <c r="I46" s="110"/>
      <c r="J46" s="129" t="s">
        <v>68</v>
      </c>
      <c r="K46" s="110" t="s">
        <v>97</v>
      </c>
      <c r="L46" s="124">
        <v>60.0</v>
      </c>
      <c r="M46" s="110">
        <v>60.0</v>
      </c>
      <c r="N46" s="129">
        <v>2021.0</v>
      </c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1">
        <f>SUM(S46:W46)</f>
        <v>0</v>
      </c>
      <c r="Z46" s="146"/>
      <c r="AA46" s="110"/>
      <c r="AB46" s="110"/>
      <c r="AC46" s="110"/>
      <c r="AD46" s="110"/>
      <c r="AE46" s="110"/>
      <c r="AF46" s="147" t="str">
        <f>DATEDIF(#REF!,#REF!,"M")+1</f>
        <v>#REF!</v>
      </c>
      <c r="AG46" s="148" t="str">
        <f>LARGE(AS218:BA218,1)*((AA46*AB46)+(AC46*AD46)+(AE46*AF46))</f>
        <v>#NUM!</v>
      </c>
      <c r="AH46" s="110"/>
      <c r="AI46" s="155">
        <f>AA46*0.2</f>
        <v>0</v>
      </c>
      <c r="AJ46" s="148" t="str">
        <f>AG46*0.025</f>
        <v>#NUM!</v>
      </c>
      <c r="AK46" s="148" t="str">
        <f>0.03*AG46</f>
        <v>#NUM!</v>
      </c>
      <c r="AL46" s="149" t="s">
        <v>304</v>
      </c>
      <c r="AM46" s="112">
        <v>2021.0</v>
      </c>
      <c r="AN46" s="61"/>
      <c r="AO46" s="61"/>
      <c r="AP46" s="150"/>
      <c r="AQ46" s="149" t="s">
        <v>63</v>
      </c>
      <c r="AR46" s="96" t="s">
        <v>102</v>
      </c>
      <c r="AS46" s="110"/>
      <c r="AT46" s="110"/>
      <c r="AU46" s="110"/>
      <c r="AV46" s="110"/>
      <c r="AW46" s="152"/>
      <c r="AX46" s="152"/>
      <c r="AY46" s="152"/>
      <c r="AZ46" s="152"/>
      <c r="BA46" s="152"/>
      <c r="BB46" s="153">
        <v>44817.0</v>
      </c>
      <c r="BC46" s="153">
        <v>44817.0</v>
      </c>
      <c r="BD46" s="153">
        <v>44817.0</v>
      </c>
      <c r="BE46" s="153">
        <v>44817.0</v>
      </c>
      <c r="BF46" s="153">
        <v>44817.0</v>
      </c>
      <c r="BG46" s="152"/>
      <c r="BH46" s="152"/>
      <c r="BI46" s="154"/>
    </row>
    <row r="47" ht="15.75" customHeight="1">
      <c r="A47" s="144"/>
      <c r="B47" s="144"/>
      <c r="C47" s="157" t="s">
        <v>305</v>
      </c>
      <c r="D47" s="108" t="s">
        <v>92</v>
      </c>
      <c r="E47" s="110"/>
      <c r="F47" s="112"/>
      <c r="G47" s="110"/>
      <c r="H47" s="110"/>
      <c r="I47" s="110"/>
      <c r="J47" s="129"/>
      <c r="K47" s="110"/>
      <c r="L47" s="124"/>
      <c r="M47" s="110"/>
      <c r="N47" s="129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1"/>
      <c r="Z47" s="146"/>
      <c r="AA47" s="110"/>
      <c r="AB47" s="110"/>
      <c r="AC47" s="110"/>
      <c r="AD47" s="110"/>
      <c r="AE47" s="110"/>
      <c r="AF47" s="147"/>
      <c r="AG47" s="148"/>
      <c r="AH47" s="110"/>
      <c r="AI47" s="155"/>
      <c r="AJ47" s="148"/>
      <c r="AK47" s="148"/>
      <c r="AL47" s="149"/>
      <c r="AM47" s="112"/>
      <c r="AN47" s="61"/>
      <c r="AO47" s="61"/>
      <c r="AP47" s="150"/>
      <c r="AQ47" s="149"/>
      <c r="AR47" s="96"/>
      <c r="AS47" s="110"/>
      <c r="AT47" s="110"/>
      <c r="AU47" s="110"/>
      <c r="AV47" s="110"/>
      <c r="AW47" s="152"/>
      <c r="AX47" s="152"/>
      <c r="AY47" s="152"/>
      <c r="AZ47" s="152"/>
      <c r="BA47" s="152"/>
      <c r="BB47" s="153"/>
      <c r="BC47" s="153"/>
      <c r="BD47" s="153"/>
      <c r="BE47" s="153"/>
      <c r="BF47" s="153"/>
      <c r="BG47" s="152"/>
      <c r="BH47" s="152"/>
      <c r="BI47" s="154"/>
    </row>
    <row r="48" ht="15.75" customHeight="1">
      <c r="A48" s="168" t="s">
        <v>306</v>
      </c>
      <c r="B48" s="168" t="s">
        <v>307</v>
      </c>
      <c r="C48" s="169" t="s">
        <v>308</v>
      </c>
      <c r="D48" s="170" t="s">
        <v>65</v>
      </c>
      <c r="E48" s="170" t="s">
        <v>309</v>
      </c>
      <c r="F48" s="171" t="s">
        <v>310</v>
      </c>
      <c r="G48" s="170"/>
      <c r="H48" s="170" t="s">
        <v>311</v>
      </c>
      <c r="I48" s="170"/>
      <c r="J48" s="170" t="s">
        <v>312</v>
      </c>
      <c r="K48" s="170" t="s">
        <v>69</v>
      </c>
      <c r="L48" s="172"/>
      <c r="M48" s="173">
        <v>3.0</v>
      </c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5"/>
      <c r="Y48" s="62">
        <f t="shared" ref="Y48:Y49" si="32">SUM(S48:W48)</f>
        <v>0</v>
      </c>
      <c r="Z48" s="64" t="str">
        <f t="shared" ref="Z48:Z49" si="33">S48/Y48</f>
        <v>#DIV/0!</v>
      </c>
      <c r="AA48" s="175"/>
      <c r="AB48" s="175"/>
      <c r="AC48" s="175"/>
      <c r="AD48" s="175"/>
      <c r="AE48" s="175"/>
      <c r="AF48" s="86" t="str">
        <f t="shared" ref="AF48:AF49" si="34">DATEDIF(#REF!,#REF!,"M")+1</f>
        <v>#REF!</v>
      </c>
      <c r="AG48" s="68" t="str">
        <f t="shared" ref="AG48:AG49" si="35">LARGE(AS48:BA48,1)*((AA48*AB48)+(AC48*AD48)+(AE48*AF48))</f>
        <v>#NUM!</v>
      </c>
      <c r="AH48" s="175"/>
      <c r="AI48" s="68">
        <f t="shared" ref="AI48:AI49" si="36">AA48*0.2</f>
        <v>0</v>
      </c>
      <c r="AJ48" s="68" t="str">
        <f t="shared" ref="AJ48:AJ49" si="37">AG48*0.025</f>
        <v>#NUM!</v>
      </c>
      <c r="AK48" s="68" t="str">
        <f t="shared" ref="AK48:AK49" si="38">0.03*AG48</f>
        <v>#NUM!</v>
      </c>
      <c r="AL48" s="176" t="s">
        <v>313</v>
      </c>
      <c r="AM48" s="177" t="s">
        <v>129</v>
      </c>
      <c r="AN48" s="58"/>
      <c r="AO48" s="58" t="s">
        <v>129</v>
      </c>
      <c r="AP48" s="102" t="s">
        <v>156</v>
      </c>
      <c r="AQ48" s="170"/>
      <c r="AR48" s="89" t="s">
        <v>121</v>
      </c>
      <c r="AS48" s="170"/>
      <c r="AT48" s="170"/>
      <c r="AU48" s="170"/>
      <c r="AV48" s="170"/>
      <c r="AW48" s="170"/>
      <c r="AX48" s="170"/>
      <c r="AY48" s="170"/>
      <c r="AZ48" s="170"/>
      <c r="BA48" s="170"/>
      <c r="BB48" s="178">
        <v>44817.0</v>
      </c>
      <c r="BC48" s="178">
        <v>44817.0</v>
      </c>
      <c r="BD48" s="178">
        <v>44817.0</v>
      </c>
      <c r="BE48" s="178">
        <v>44817.0</v>
      </c>
      <c r="BF48" s="178">
        <v>44817.0</v>
      </c>
      <c r="BG48" s="170" t="s">
        <v>314</v>
      </c>
      <c r="BH48" s="170" t="s">
        <v>315</v>
      </c>
      <c r="BI48" s="170" t="s">
        <v>129</v>
      </c>
    </row>
    <row r="49" ht="15.75" customHeight="1">
      <c r="A49" s="168" t="s">
        <v>306</v>
      </c>
      <c r="B49" s="168" t="s">
        <v>307</v>
      </c>
      <c r="C49" s="169" t="s">
        <v>316</v>
      </c>
      <c r="D49" s="170" t="s">
        <v>65</v>
      </c>
      <c r="E49" s="170" t="s">
        <v>309</v>
      </c>
      <c r="F49" s="171" t="s">
        <v>310</v>
      </c>
      <c r="G49" s="170"/>
      <c r="H49" s="170" t="s">
        <v>311</v>
      </c>
      <c r="I49" s="170"/>
      <c r="J49" s="170" t="s">
        <v>312</v>
      </c>
      <c r="K49" s="170" t="s">
        <v>69</v>
      </c>
      <c r="L49" s="172"/>
      <c r="M49" s="173">
        <v>20.0</v>
      </c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5"/>
      <c r="Y49" s="62">
        <f t="shared" si="32"/>
        <v>0</v>
      </c>
      <c r="Z49" s="64" t="str">
        <f t="shared" si="33"/>
        <v>#DIV/0!</v>
      </c>
      <c r="AA49" s="175"/>
      <c r="AB49" s="175"/>
      <c r="AC49" s="175"/>
      <c r="AD49" s="175"/>
      <c r="AE49" s="175"/>
      <c r="AF49" s="86" t="str">
        <f t="shared" si="34"/>
        <v>#REF!</v>
      </c>
      <c r="AG49" s="68" t="str">
        <f t="shared" si="35"/>
        <v>#NUM!</v>
      </c>
      <c r="AH49" s="175"/>
      <c r="AI49" s="68">
        <f t="shared" si="36"/>
        <v>0</v>
      </c>
      <c r="AJ49" s="68" t="str">
        <f t="shared" si="37"/>
        <v>#NUM!</v>
      </c>
      <c r="AK49" s="68" t="str">
        <f t="shared" si="38"/>
        <v>#NUM!</v>
      </c>
      <c r="AL49" s="176" t="s">
        <v>313</v>
      </c>
      <c r="AM49" s="177" t="s">
        <v>129</v>
      </c>
      <c r="AN49" s="58"/>
      <c r="AO49" s="58" t="s">
        <v>129</v>
      </c>
      <c r="AP49" s="102" t="s">
        <v>156</v>
      </c>
      <c r="AQ49" s="170"/>
      <c r="AR49" s="89" t="s">
        <v>121</v>
      </c>
      <c r="AS49" s="170"/>
      <c r="AT49" s="170"/>
      <c r="AU49" s="170"/>
      <c r="AV49" s="170"/>
      <c r="AW49" s="170"/>
      <c r="AX49" s="170"/>
      <c r="AY49" s="170"/>
      <c r="AZ49" s="170"/>
      <c r="BA49" s="170"/>
      <c r="BB49" s="178">
        <v>44817.0</v>
      </c>
      <c r="BC49" s="178">
        <v>44817.0</v>
      </c>
      <c r="BD49" s="178">
        <v>44817.0</v>
      </c>
      <c r="BE49" s="178">
        <v>44817.0</v>
      </c>
      <c r="BF49" s="178">
        <v>44817.0</v>
      </c>
      <c r="BG49" s="170" t="s">
        <v>314</v>
      </c>
      <c r="BH49" s="170" t="s">
        <v>315</v>
      </c>
      <c r="BI49" s="170" t="s">
        <v>129</v>
      </c>
    </row>
    <row r="50" ht="15.75" customHeight="1">
      <c r="A50" s="168"/>
      <c r="B50" s="168"/>
      <c r="C50" s="169"/>
      <c r="D50" s="170"/>
      <c r="E50" s="170" t="s">
        <v>309</v>
      </c>
      <c r="F50" s="171"/>
      <c r="G50" s="170"/>
      <c r="H50" s="170"/>
      <c r="I50" s="170"/>
      <c r="J50" s="170"/>
      <c r="K50" s="170"/>
      <c r="L50" s="172"/>
      <c r="M50" s="173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5"/>
      <c r="Y50" s="62"/>
      <c r="Z50" s="64"/>
      <c r="AA50" s="175"/>
      <c r="AB50" s="175"/>
      <c r="AC50" s="175"/>
      <c r="AD50" s="175"/>
      <c r="AE50" s="175"/>
      <c r="AF50" s="86"/>
      <c r="AG50" s="68"/>
      <c r="AH50" s="175"/>
      <c r="AI50" s="68"/>
      <c r="AJ50" s="68"/>
      <c r="AK50" s="68"/>
      <c r="AL50" s="176"/>
      <c r="AM50" s="177"/>
      <c r="AN50" s="58"/>
      <c r="AO50" s="58"/>
      <c r="AP50" s="102"/>
      <c r="AQ50" s="170"/>
      <c r="AR50" s="89"/>
      <c r="AS50" s="170"/>
      <c r="AT50" s="170"/>
      <c r="AU50" s="170"/>
      <c r="AV50" s="170"/>
      <c r="AW50" s="170"/>
      <c r="AX50" s="170"/>
      <c r="AY50" s="170"/>
      <c r="AZ50" s="170"/>
      <c r="BA50" s="170"/>
      <c r="BB50" s="178"/>
      <c r="BC50" s="178"/>
      <c r="BD50" s="178"/>
      <c r="BE50" s="178"/>
      <c r="BF50" s="178"/>
      <c r="BG50" s="170"/>
      <c r="BH50" s="170"/>
      <c r="BI50" s="170"/>
    </row>
    <row r="51" ht="15.75" customHeight="1">
      <c r="A51" s="168" t="s">
        <v>306</v>
      </c>
      <c r="B51" s="168" t="s">
        <v>307</v>
      </c>
      <c r="C51" s="169" t="s">
        <v>317</v>
      </c>
      <c r="D51" s="170" t="s">
        <v>65</v>
      </c>
      <c r="E51" s="170" t="s">
        <v>309</v>
      </c>
      <c r="F51" s="171" t="s">
        <v>310</v>
      </c>
      <c r="G51" s="170"/>
      <c r="H51" s="170" t="s">
        <v>311</v>
      </c>
      <c r="I51" s="170"/>
      <c r="J51" s="170" t="s">
        <v>312</v>
      </c>
      <c r="K51" s="170" t="s">
        <v>69</v>
      </c>
      <c r="L51" s="172"/>
      <c r="M51" s="173">
        <v>4.0</v>
      </c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5"/>
      <c r="Y51" s="62">
        <f t="shared" ref="Y51:Y54" si="39">SUM(S51:W51)</f>
        <v>0</v>
      </c>
      <c r="Z51" s="64" t="str">
        <f t="shared" ref="Z51:Z55" si="40">S51/Y51</f>
        <v>#DIV/0!</v>
      </c>
      <c r="AA51" s="175"/>
      <c r="AB51" s="175"/>
      <c r="AC51" s="175"/>
      <c r="AD51" s="175"/>
      <c r="AE51" s="175"/>
      <c r="AF51" s="86" t="str">
        <f t="shared" ref="AF51:AF80" si="41">DATEDIF(#REF!,#REF!,"M")+1</f>
        <v>#REF!</v>
      </c>
      <c r="AG51" s="68" t="str">
        <f t="shared" ref="AG51:AG80" si="42">LARGE(AS51:BA51,1)*((AA51*AB51)+(AC51*AD51)+(AE51*AF51))</f>
        <v>#NUM!</v>
      </c>
      <c r="AH51" s="175"/>
      <c r="AI51" s="68">
        <f t="shared" ref="AI51:AI80" si="43">AA51*0.2</f>
        <v>0</v>
      </c>
      <c r="AJ51" s="68" t="str">
        <f t="shared" ref="AJ51:AJ85" si="44">AG51*0.025</f>
        <v>#NUM!</v>
      </c>
      <c r="AK51" s="68" t="str">
        <f t="shared" ref="AK51:AK80" si="45">0.03*AG51</f>
        <v>#NUM!</v>
      </c>
      <c r="AL51" s="176" t="s">
        <v>313</v>
      </c>
      <c r="AM51" s="177" t="s">
        <v>129</v>
      </c>
      <c r="AN51" s="58"/>
      <c r="AO51" s="58" t="s">
        <v>129</v>
      </c>
      <c r="AP51" s="102" t="s">
        <v>156</v>
      </c>
      <c r="AQ51" s="170"/>
      <c r="AR51" s="89" t="s">
        <v>121</v>
      </c>
      <c r="AS51" s="170"/>
      <c r="AT51" s="170"/>
      <c r="AU51" s="170"/>
      <c r="AV51" s="170"/>
      <c r="AW51" s="170"/>
      <c r="AX51" s="170"/>
      <c r="AY51" s="170"/>
      <c r="AZ51" s="170"/>
      <c r="BA51" s="170"/>
      <c r="BB51" s="178">
        <v>44817.0</v>
      </c>
      <c r="BC51" s="178">
        <v>44817.0</v>
      </c>
      <c r="BD51" s="178">
        <v>44817.0</v>
      </c>
      <c r="BE51" s="178">
        <v>44817.0</v>
      </c>
      <c r="BF51" s="178">
        <v>44817.0</v>
      </c>
      <c r="BG51" s="170" t="s">
        <v>314</v>
      </c>
      <c r="BH51" s="170" t="s">
        <v>315</v>
      </c>
      <c r="BI51" s="170" t="s">
        <v>129</v>
      </c>
    </row>
    <row r="52" ht="15.75" customHeight="1">
      <c r="A52" s="168" t="s">
        <v>306</v>
      </c>
      <c r="B52" s="168" t="s">
        <v>307</v>
      </c>
      <c r="C52" s="169" t="s">
        <v>318</v>
      </c>
      <c r="D52" s="170" t="s">
        <v>65</v>
      </c>
      <c r="E52" s="170" t="s">
        <v>309</v>
      </c>
      <c r="F52" s="171" t="s">
        <v>310</v>
      </c>
      <c r="G52" s="170"/>
      <c r="H52" s="170" t="s">
        <v>311</v>
      </c>
      <c r="I52" s="170"/>
      <c r="J52" s="170" t="s">
        <v>312</v>
      </c>
      <c r="K52" s="170" t="s">
        <v>69</v>
      </c>
      <c r="L52" s="172"/>
      <c r="M52" s="173">
        <v>2.0</v>
      </c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5"/>
      <c r="Y52" s="62">
        <f t="shared" si="39"/>
        <v>0</v>
      </c>
      <c r="Z52" s="64" t="str">
        <f t="shared" si="40"/>
        <v>#DIV/0!</v>
      </c>
      <c r="AA52" s="175"/>
      <c r="AB52" s="175"/>
      <c r="AC52" s="175"/>
      <c r="AD52" s="175"/>
      <c r="AE52" s="175"/>
      <c r="AF52" s="86" t="str">
        <f t="shared" si="41"/>
        <v>#REF!</v>
      </c>
      <c r="AG52" s="68" t="str">
        <f t="shared" si="42"/>
        <v>#NUM!</v>
      </c>
      <c r="AH52" s="175"/>
      <c r="AI52" s="68">
        <f t="shared" si="43"/>
        <v>0</v>
      </c>
      <c r="AJ52" s="68" t="str">
        <f t="shared" si="44"/>
        <v>#NUM!</v>
      </c>
      <c r="AK52" s="68" t="str">
        <f t="shared" si="45"/>
        <v>#NUM!</v>
      </c>
      <c r="AL52" s="176" t="s">
        <v>313</v>
      </c>
      <c r="AM52" s="177" t="s">
        <v>129</v>
      </c>
      <c r="AN52" s="58"/>
      <c r="AO52" s="58" t="s">
        <v>129</v>
      </c>
      <c r="AP52" s="102" t="s">
        <v>156</v>
      </c>
      <c r="AQ52" s="170"/>
      <c r="AR52" s="89" t="s">
        <v>121</v>
      </c>
      <c r="AS52" s="170"/>
      <c r="AT52" s="170"/>
      <c r="AU52" s="170"/>
      <c r="AV52" s="170"/>
      <c r="AW52" s="170"/>
      <c r="AX52" s="170"/>
      <c r="AY52" s="170"/>
      <c r="AZ52" s="170"/>
      <c r="BA52" s="170"/>
      <c r="BB52" s="178">
        <v>44817.0</v>
      </c>
      <c r="BC52" s="178">
        <v>44817.0</v>
      </c>
      <c r="BD52" s="178">
        <v>44817.0</v>
      </c>
      <c r="BE52" s="178">
        <v>44817.0</v>
      </c>
      <c r="BF52" s="178">
        <v>44817.0</v>
      </c>
      <c r="BG52" s="170" t="s">
        <v>314</v>
      </c>
      <c r="BH52" s="170" t="s">
        <v>315</v>
      </c>
      <c r="BI52" s="170" t="s">
        <v>129</v>
      </c>
    </row>
    <row r="53" ht="15.75" customHeight="1">
      <c r="A53" s="168" t="s">
        <v>306</v>
      </c>
      <c r="B53" s="168" t="s">
        <v>307</v>
      </c>
      <c r="C53" s="169" t="s">
        <v>319</v>
      </c>
      <c r="D53" s="170" t="s">
        <v>65</v>
      </c>
      <c r="E53" s="170" t="s">
        <v>309</v>
      </c>
      <c r="F53" s="171" t="s">
        <v>310</v>
      </c>
      <c r="G53" s="170"/>
      <c r="H53" s="170" t="s">
        <v>311</v>
      </c>
      <c r="I53" s="170"/>
      <c r="J53" s="170" t="s">
        <v>312</v>
      </c>
      <c r="K53" s="170" t="s">
        <v>69</v>
      </c>
      <c r="L53" s="172"/>
      <c r="M53" s="173">
        <v>2.0</v>
      </c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5"/>
      <c r="Y53" s="62">
        <f t="shared" si="39"/>
        <v>0</v>
      </c>
      <c r="Z53" s="64" t="str">
        <f t="shared" si="40"/>
        <v>#DIV/0!</v>
      </c>
      <c r="AA53" s="175"/>
      <c r="AB53" s="175"/>
      <c r="AC53" s="175"/>
      <c r="AD53" s="175"/>
      <c r="AE53" s="175"/>
      <c r="AF53" s="86" t="str">
        <f t="shared" si="41"/>
        <v>#REF!</v>
      </c>
      <c r="AG53" s="68" t="str">
        <f t="shared" si="42"/>
        <v>#NUM!</v>
      </c>
      <c r="AH53" s="175"/>
      <c r="AI53" s="68">
        <f t="shared" si="43"/>
        <v>0</v>
      </c>
      <c r="AJ53" s="68" t="str">
        <f t="shared" si="44"/>
        <v>#NUM!</v>
      </c>
      <c r="AK53" s="68" t="str">
        <f t="shared" si="45"/>
        <v>#NUM!</v>
      </c>
      <c r="AL53" s="176" t="s">
        <v>313</v>
      </c>
      <c r="AM53" s="177" t="s">
        <v>129</v>
      </c>
      <c r="AN53" s="58"/>
      <c r="AO53" s="58" t="s">
        <v>129</v>
      </c>
      <c r="AP53" s="102" t="s">
        <v>156</v>
      </c>
      <c r="AQ53" s="170"/>
      <c r="AR53" s="89" t="s">
        <v>121</v>
      </c>
      <c r="AS53" s="170"/>
      <c r="AT53" s="170"/>
      <c r="AU53" s="170"/>
      <c r="AV53" s="170"/>
      <c r="AW53" s="170"/>
      <c r="AX53" s="170"/>
      <c r="AY53" s="170"/>
      <c r="AZ53" s="170"/>
      <c r="BA53" s="170"/>
      <c r="BB53" s="178">
        <v>44817.0</v>
      </c>
      <c r="BC53" s="178">
        <v>44817.0</v>
      </c>
      <c r="BD53" s="178">
        <v>44817.0</v>
      </c>
      <c r="BE53" s="178">
        <v>44817.0</v>
      </c>
      <c r="BF53" s="178">
        <v>44817.0</v>
      </c>
      <c r="BG53" s="170" t="s">
        <v>314</v>
      </c>
      <c r="BH53" s="170" t="s">
        <v>315</v>
      </c>
      <c r="BI53" s="170" t="s">
        <v>129</v>
      </c>
    </row>
    <row r="54" ht="15.75" customHeight="1">
      <c r="A54" s="168" t="s">
        <v>306</v>
      </c>
      <c r="B54" s="168" t="s">
        <v>307</v>
      </c>
      <c r="C54" s="169" t="s">
        <v>320</v>
      </c>
      <c r="D54" s="170" t="s">
        <v>65</v>
      </c>
      <c r="E54" s="170" t="s">
        <v>309</v>
      </c>
      <c r="F54" s="171" t="s">
        <v>310</v>
      </c>
      <c r="G54" s="170"/>
      <c r="H54" s="170" t="s">
        <v>311</v>
      </c>
      <c r="I54" s="170"/>
      <c r="J54" s="170" t="s">
        <v>312</v>
      </c>
      <c r="K54" s="170" t="s">
        <v>69</v>
      </c>
      <c r="L54" s="172"/>
      <c r="M54" s="173">
        <v>1.0</v>
      </c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5"/>
      <c r="Y54" s="62">
        <f t="shared" si="39"/>
        <v>0</v>
      </c>
      <c r="Z54" s="64" t="str">
        <f t="shared" si="40"/>
        <v>#DIV/0!</v>
      </c>
      <c r="AA54" s="175"/>
      <c r="AB54" s="175"/>
      <c r="AC54" s="175"/>
      <c r="AD54" s="175"/>
      <c r="AE54" s="175"/>
      <c r="AF54" s="86" t="str">
        <f t="shared" si="41"/>
        <v>#REF!</v>
      </c>
      <c r="AG54" s="68" t="str">
        <f t="shared" si="42"/>
        <v>#NUM!</v>
      </c>
      <c r="AH54" s="175"/>
      <c r="AI54" s="68">
        <f t="shared" si="43"/>
        <v>0</v>
      </c>
      <c r="AJ54" s="68" t="str">
        <f t="shared" si="44"/>
        <v>#NUM!</v>
      </c>
      <c r="AK54" s="68" t="str">
        <f t="shared" si="45"/>
        <v>#NUM!</v>
      </c>
      <c r="AL54" s="176" t="s">
        <v>313</v>
      </c>
      <c r="AM54" s="177" t="s">
        <v>129</v>
      </c>
      <c r="AN54" s="58"/>
      <c r="AO54" s="58" t="s">
        <v>129</v>
      </c>
      <c r="AP54" s="102" t="s">
        <v>156</v>
      </c>
      <c r="AQ54" s="170"/>
      <c r="AR54" s="89" t="s">
        <v>121</v>
      </c>
      <c r="AS54" s="170"/>
      <c r="AT54" s="170"/>
      <c r="AU54" s="170"/>
      <c r="AV54" s="170"/>
      <c r="AW54" s="170"/>
      <c r="AX54" s="170"/>
      <c r="AY54" s="170"/>
      <c r="AZ54" s="170"/>
      <c r="BA54" s="170"/>
      <c r="BB54" s="178">
        <v>44817.0</v>
      </c>
      <c r="BC54" s="178">
        <v>44817.0</v>
      </c>
      <c r="BD54" s="178">
        <v>44817.0</v>
      </c>
      <c r="BE54" s="178">
        <v>44817.0</v>
      </c>
      <c r="BF54" s="178">
        <v>44817.0</v>
      </c>
      <c r="BG54" s="170" t="s">
        <v>314</v>
      </c>
      <c r="BH54" s="170" t="s">
        <v>315</v>
      </c>
      <c r="BI54" s="170" t="s">
        <v>129</v>
      </c>
    </row>
    <row r="55" ht="15.75" customHeight="1">
      <c r="A55" s="168" t="s">
        <v>306</v>
      </c>
      <c r="B55" s="168" t="s">
        <v>307</v>
      </c>
      <c r="C55" s="169" t="s">
        <v>321</v>
      </c>
      <c r="D55" s="170" t="s">
        <v>65</v>
      </c>
      <c r="E55" s="170" t="s">
        <v>309</v>
      </c>
      <c r="F55" s="171" t="s">
        <v>310</v>
      </c>
      <c r="G55" s="170"/>
      <c r="H55" s="170" t="s">
        <v>311</v>
      </c>
      <c r="I55" s="170"/>
      <c r="J55" s="170" t="s">
        <v>312</v>
      </c>
      <c r="K55" s="170" t="s">
        <v>69</v>
      </c>
      <c r="L55" s="172"/>
      <c r="M55" s="173">
        <v>1.0</v>
      </c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5"/>
      <c r="Y55" s="62">
        <f t="shared" ref="Y55:Y82" si="46">SUM(S55:T55)</f>
        <v>0</v>
      </c>
      <c r="Z55" s="64" t="str">
        <f t="shared" si="40"/>
        <v>#DIV/0!</v>
      </c>
      <c r="AA55" s="175"/>
      <c r="AB55" s="175"/>
      <c r="AC55" s="175"/>
      <c r="AD55" s="175"/>
      <c r="AE55" s="175"/>
      <c r="AF55" s="86" t="str">
        <f t="shared" si="41"/>
        <v>#REF!</v>
      </c>
      <c r="AG55" s="68" t="str">
        <f t="shared" si="42"/>
        <v>#NUM!</v>
      </c>
      <c r="AH55" s="175"/>
      <c r="AI55" s="68">
        <f t="shared" si="43"/>
        <v>0</v>
      </c>
      <c r="AJ55" s="68" t="str">
        <f t="shared" si="44"/>
        <v>#NUM!</v>
      </c>
      <c r="AK55" s="68" t="str">
        <f t="shared" si="45"/>
        <v>#NUM!</v>
      </c>
      <c r="AL55" s="176" t="s">
        <v>313</v>
      </c>
      <c r="AM55" s="177" t="s">
        <v>129</v>
      </c>
      <c r="AN55" s="58"/>
      <c r="AO55" s="58" t="s">
        <v>129</v>
      </c>
      <c r="AP55" s="102" t="s">
        <v>156</v>
      </c>
      <c r="AQ55" s="170"/>
      <c r="AR55" s="89" t="s">
        <v>121</v>
      </c>
      <c r="AS55" s="170"/>
      <c r="AT55" s="170"/>
      <c r="AU55" s="170"/>
      <c r="AV55" s="170"/>
      <c r="AW55" s="170"/>
      <c r="AX55" s="170"/>
      <c r="AY55" s="170"/>
      <c r="AZ55" s="170"/>
      <c r="BA55" s="170"/>
      <c r="BB55" s="178">
        <v>44817.0</v>
      </c>
      <c r="BC55" s="178">
        <v>44817.0</v>
      </c>
      <c r="BD55" s="178">
        <v>44817.0</v>
      </c>
      <c r="BE55" s="178">
        <v>44817.0</v>
      </c>
      <c r="BF55" s="178">
        <v>44817.0</v>
      </c>
      <c r="BG55" s="170" t="s">
        <v>314</v>
      </c>
      <c r="BH55" s="170" t="s">
        <v>315</v>
      </c>
      <c r="BI55" s="170" t="s">
        <v>129</v>
      </c>
    </row>
    <row r="56" ht="15.75" customHeight="1">
      <c r="A56" s="168" t="s">
        <v>306</v>
      </c>
      <c r="B56" s="168" t="s">
        <v>307</v>
      </c>
      <c r="C56" s="169" t="s">
        <v>322</v>
      </c>
      <c r="D56" s="170"/>
      <c r="E56" s="170" t="s">
        <v>309</v>
      </c>
      <c r="F56" s="171" t="s">
        <v>310</v>
      </c>
      <c r="G56" s="170"/>
      <c r="H56" s="170" t="s">
        <v>311</v>
      </c>
      <c r="I56" s="170"/>
      <c r="J56" s="170" t="s">
        <v>312</v>
      </c>
      <c r="K56" s="170" t="s">
        <v>69</v>
      </c>
      <c r="L56" s="172"/>
      <c r="M56" s="173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5"/>
      <c r="Y56" s="62">
        <f t="shared" si="46"/>
        <v>0</v>
      </c>
      <c r="Z56" s="64"/>
      <c r="AA56" s="175"/>
      <c r="AB56" s="175"/>
      <c r="AC56" s="175"/>
      <c r="AD56" s="175"/>
      <c r="AE56" s="175"/>
      <c r="AF56" s="86" t="str">
        <f t="shared" si="41"/>
        <v>#REF!</v>
      </c>
      <c r="AG56" s="68" t="str">
        <f t="shared" si="42"/>
        <v>#NUM!</v>
      </c>
      <c r="AH56" s="175"/>
      <c r="AI56" s="68">
        <f t="shared" si="43"/>
        <v>0</v>
      </c>
      <c r="AJ56" s="68" t="str">
        <f t="shared" si="44"/>
        <v>#NUM!</v>
      </c>
      <c r="AK56" s="68" t="str">
        <f t="shared" si="45"/>
        <v>#NUM!</v>
      </c>
      <c r="AL56" s="176" t="s">
        <v>313</v>
      </c>
      <c r="AM56" s="177"/>
      <c r="AN56" s="58"/>
      <c r="AO56" s="58"/>
      <c r="AP56" s="102"/>
      <c r="AQ56" s="170"/>
      <c r="AR56" s="89" t="s">
        <v>121</v>
      </c>
      <c r="AS56" s="170"/>
      <c r="AT56" s="170"/>
      <c r="AU56" s="170"/>
      <c r="AV56" s="170"/>
      <c r="AW56" s="170"/>
      <c r="AX56" s="170"/>
      <c r="AY56" s="170"/>
      <c r="AZ56" s="170"/>
      <c r="BA56" s="170"/>
      <c r="BB56" s="178">
        <v>44817.0</v>
      </c>
      <c r="BC56" s="178">
        <v>44817.0</v>
      </c>
      <c r="BD56" s="178">
        <v>44817.0</v>
      </c>
      <c r="BE56" s="178">
        <v>44817.0</v>
      </c>
      <c r="BF56" s="178">
        <v>44817.0</v>
      </c>
      <c r="BG56" s="170"/>
      <c r="BH56" s="170"/>
      <c r="BI56" s="170"/>
    </row>
    <row r="57" ht="15.75" customHeight="1">
      <c r="A57" s="168" t="s">
        <v>306</v>
      </c>
      <c r="B57" s="168" t="s">
        <v>307</v>
      </c>
      <c r="C57" s="169" t="s">
        <v>323</v>
      </c>
      <c r="D57" s="170" t="s">
        <v>65</v>
      </c>
      <c r="E57" s="170" t="s">
        <v>309</v>
      </c>
      <c r="F57" s="171" t="s">
        <v>310</v>
      </c>
      <c r="G57" s="170"/>
      <c r="H57" s="170" t="s">
        <v>311</v>
      </c>
      <c r="I57" s="170"/>
      <c r="J57" s="170" t="s">
        <v>312</v>
      </c>
      <c r="K57" s="170" t="s">
        <v>69</v>
      </c>
      <c r="L57" s="172"/>
      <c r="M57" s="173">
        <v>2.0</v>
      </c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5"/>
      <c r="Y57" s="62">
        <f t="shared" si="46"/>
        <v>0</v>
      </c>
      <c r="Z57" s="64" t="str">
        <f t="shared" ref="Z57:Z88" si="47">S57/Y57</f>
        <v>#DIV/0!</v>
      </c>
      <c r="AA57" s="175"/>
      <c r="AB57" s="175"/>
      <c r="AC57" s="175"/>
      <c r="AD57" s="175"/>
      <c r="AE57" s="175"/>
      <c r="AF57" s="86" t="str">
        <f t="shared" si="41"/>
        <v>#REF!</v>
      </c>
      <c r="AG57" s="68" t="str">
        <f t="shared" si="42"/>
        <v>#NUM!</v>
      </c>
      <c r="AH57" s="175"/>
      <c r="AI57" s="68">
        <f t="shared" si="43"/>
        <v>0</v>
      </c>
      <c r="AJ57" s="68" t="str">
        <f t="shared" si="44"/>
        <v>#NUM!</v>
      </c>
      <c r="AK57" s="68" t="str">
        <f t="shared" si="45"/>
        <v>#NUM!</v>
      </c>
      <c r="AL57" s="176" t="s">
        <v>313</v>
      </c>
      <c r="AM57" s="177" t="s">
        <v>129</v>
      </c>
      <c r="AN57" s="58"/>
      <c r="AO57" s="58" t="s">
        <v>129</v>
      </c>
      <c r="AP57" s="102" t="s">
        <v>156</v>
      </c>
      <c r="AQ57" s="170"/>
      <c r="AR57" s="89" t="s">
        <v>121</v>
      </c>
      <c r="AS57" s="170"/>
      <c r="AT57" s="170"/>
      <c r="AU57" s="170"/>
      <c r="AV57" s="170"/>
      <c r="AW57" s="170"/>
      <c r="AX57" s="170"/>
      <c r="AY57" s="170"/>
      <c r="AZ57" s="170"/>
      <c r="BA57" s="170"/>
      <c r="BB57" s="178">
        <v>44817.0</v>
      </c>
      <c r="BC57" s="178">
        <v>44817.0</v>
      </c>
      <c r="BD57" s="178">
        <v>44817.0</v>
      </c>
      <c r="BE57" s="178">
        <v>44817.0</v>
      </c>
      <c r="BF57" s="178">
        <v>44817.0</v>
      </c>
      <c r="BG57" s="170" t="s">
        <v>314</v>
      </c>
      <c r="BH57" s="170" t="s">
        <v>315</v>
      </c>
      <c r="BI57" s="170" t="s">
        <v>129</v>
      </c>
    </row>
    <row r="58" ht="15.75" customHeight="1">
      <c r="A58" s="168" t="s">
        <v>306</v>
      </c>
      <c r="B58" s="168" t="s">
        <v>307</v>
      </c>
      <c r="C58" s="169" t="s">
        <v>324</v>
      </c>
      <c r="D58" s="170" t="s">
        <v>65</v>
      </c>
      <c r="E58" s="170" t="s">
        <v>309</v>
      </c>
      <c r="F58" s="171" t="s">
        <v>310</v>
      </c>
      <c r="G58" s="170"/>
      <c r="H58" s="170" t="s">
        <v>311</v>
      </c>
      <c r="I58" s="170"/>
      <c r="J58" s="170" t="s">
        <v>312</v>
      </c>
      <c r="K58" s="170" t="s">
        <v>69</v>
      </c>
      <c r="L58" s="172"/>
      <c r="M58" s="173">
        <v>6.0</v>
      </c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5"/>
      <c r="Y58" s="62">
        <f t="shared" si="46"/>
        <v>0</v>
      </c>
      <c r="Z58" s="64" t="str">
        <f t="shared" si="47"/>
        <v>#DIV/0!</v>
      </c>
      <c r="AA58" s="175"/>
      <c r="AB58" s="175"/>
      <c r="AC58" s="175"/>
      <c r="AD58" s="175"/>
      <c r="AE58" s="175"/>
      <c r="AF58" s="86" t="str">
        <f t="shared" si="41"/>
        <v>#REF!</v>
      </c>
      <c r="AG58" s="68" t="str">
        <f t="shared" si="42"/>
        <v>#NUM!</v>
      </c>
      <c r="AH58" s="175"/>
      <c r="AI58" s="68">
        <f t="shared" si="43"/>
        <v>0</v>
      </c>
      <c r="AJ58" s="68" t="str">
        <f t="shared" si="44"/>
        <v>#NUM!</v>
      </c>
      <c r="AK58" s="68" t="str">
        <f t="shared" si="45"/>
        <v>#NUM!</v>
      </c>
      <c r="AL58" s="176" t="s">
        <v>313</v>
      </c>
      <c r="AM58" s="177" t="s">
        <v>129</v>
      </c>
      <c r="AN58" s="58"/>
      <c r="AO58" s="58" t="s">
        <v>129</v>
      </c>
      <c r="AP58" s="102" t="s">
        <v>156</v>
      </c>
      <c r="AQ58" s="170"/>
      <c r="AR58" s="89" t="s">
        <v>121</v>
      </c>
      <c r="AS58" s="170"/>
      <c r="AT58" s="170"/>
      <c r="AU58" s="170"/>
      <c r="AV58" s="170"/>
      <c r="AW58" s="170"/>
      <c r="AX58" s="170"/>
      <c r="AY58" s="170"/>
      <c r="AZ58" s="170"/>
      <c r="BA58" s="170"/>
      <c r="BB58" s="178">
        <v>44817.0</v>
      </c>
      <c r="BC58" s="178">
        <v>44817.0</v>
      </c>
      <c r="BD58" s="178">
        <v>44817.0</v>
      </c>
      <c r="BE58" s="178">
        <v>44817.0</v>
      </c>
      <c r="BF58" s="178">
        <v>44817.0</v>
      </c>
      <c r="BG58" s="170" t="s">
        <v>314</v>
      </c>
      <c r="BH58" s="170" t="s">
        <v>315</v>
      </c>
      <c r="BI58" s="170" t="s">
        <v>129</v>
      </c>
    </row>
    <row r="59" ht="15.75" customHeight="1">
      <c r="A59" s="168" t="s">
        <v>306</v>
      </c>
      <c r="B59" s="168" t="s">
        <v>307</v>
      </c>
      <c r="C59" s="169" t="s">
        <v>325</v>
      </c>
      <c r="D59" s="170" t="s">
        <v>65</v>
      </c>
      <c r="E59" s="170" t="s">
        <v>309</v>
      </c>
      <c r="F59" s="171" t="s">
        <v>310</v>
      </c>
      <c r="G59" s="170"/>
      <c r="H59" s="170" t="s">
        <v>311</v>
      </c>
      <c r="I59" s="170"/>
      <c r="J59" s="170" t="s">
        <v>312</v>
      </c>
      <c r="K59" s="170" t="s">
        <v>69</v>
      </c>
      <c r="L59" s="172"/>
      <c r="M59" s="173">
        <v>3.0</v>
      </c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5"/>
      <c r="Y59" s="62">
        <f t="shared" si="46"/>
        <v>0</v>
      </c>
      <c r="Z59" s="64" t="str">
        <f t="shared" si="47"/>
        <v>#DIV/0!</v>
      </c>
      <c r="AA59" s="175"/>
      <c r="AB59" s="175"/>
      <c r="AC59" s="175"/>
      <c r="AD59" s="175"/>
      <c r="AE59" s="175"/>
      <c r="AF59" s="86" t="str">
        <f t="shared" si="41"/>
        <v>#REF!</v>
      </c>
      <c r="AG59" s="68" t="str">
        <f t="shared" si="42"/>
        <v>#NUM!</v>
      </c>
      <c r="AH59" s="175"/>
      <c r="AI59" s="68">
        <f t="shared" si="43"/>
        <v>0</v>
      </c>
      <c r="AJ59" s="68" t="str">
        <f t="shared" si="44"/>
        <v>#NUM!</v>
      </c>
      <c r="AK59" s="68" t="str">
        <f t="shared" si="45"/>
        <v>#NUM!</v>
      </c>
      <c r="AL59" s="176" t="s">
        <v>313</v>
      </c>
      <c r="AM59" s="177" t="s">
        <v>129</v>
      </c>
      <c r="AN59" s="58"/>
      <c r="AO59" s="58" t="s">
        <v>129</v>
      </c>
      <c r="AP59" s="102" t="s">
        <v>156</v>
      </c>
      <c r="AQ59" s="170"/>
      <c r="AR59" s="89" t="s">
        <v>102</v>
      </c>
      <c r="AS59" s="170"/>
      <c r="AT59" s="170"/>
      <c r="AU59" s="170"/>
      <c r="AV59" s="170"/>
      <c r="AW59" s="170"/>
      <c r="AX59" s="170"/>
      <c r="AY59" s="170"/>
      <c r="AZ59" s="170"/>
      <c r="BA59" s="170"/>
      <c r="BB59" s="178">
        <v>44817.0</v>
      </c>
      <c r="BC59" s="178">
        <v>44817.0</v>
      </c>
      <c r="BD59" s="178">
        <v>44817.0</v>
      </c>
      <c r="BE59" s="178">
        <v>44817.0</v>
      </c>
      <c r="BF59" s="178">
        <v>44817.0</v>
      </c>
      <c r="BG59" s="170" t="s">
        <v>314</v>
      </c>
      <c r="BH59" s="170" t="s">
        <v>315</v>
      </c>
      <c r="BI59" s="170" t="s">
        <v>129</v>
      </c>
    </row>
    <row r="60" ht="15.75" customHeight="1">
      <c r="A60" s="168" t="s">
        <v>306</v>
      </c>
      <c r="B60" s="168" t="s">
        <v>307</v>
      </c>
      <c r="C60" s="169" t="s">
        <v>326</v>
      </c>
      <c r="D60" s="170" t="s">
        <v>65</v>
      </c>
      <c r="E60" s="170" t="s">
        <v>309</v>
      </c>
      <c r="F60" s="171" t="s">
        <v>310</v>
      </c>
      <c r="G60" s="170"/>
      <c r="H60" s="170" t="s">
        <v>311</v>
      </c>
      <c r="I60" s="170"/>
      <c r="J60" s="170" t="s">
        <v>312</v>
      </c>
      <c r="K60" s="170" t="s">
        <v>69</v>
      </c>
      <c r="L60" s="172"/>
      <c r="M60" s="173">
        <v>12.0</v>
      </c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5"/>
      <c r="Y60" s="62">
        <f t="shared" si="46"/>
        <v>0</v>
      </c>
      <c r="Z60" s="64" t="str">
        <f t="shared" si="47"/>
        <v>#DIV/0!</v>
      </c>
      <c r="AA60" s="175"/>
      <c r="AB60" s="175"/>
      <c r="AC60" s="175"/>
      <c r="AD60" s="175"/>
      <c r="AE60" s="175"/>
      <c r="AF60" s="86" t="str">
        <f t="shared" si="41"/>
        <v>#REF!</v>
      </c>
      <c r="AG60" s="68" t="str">
        <f t="shared" si="42"/>
        <v>#NUM!</v>
      </c>
      <c r="AH60" s="175"/>
      <c r="AI60" s="68">
        <f t="shared" si="43"/>
        <v>0</v>
      </c>
      <c r="AJ60" s="68" t="str">
        <f t="shared" si="44"/>
        <v>#NUM!</v>
      </c>
      <c r="AK60" s="68" t="str">
        <f t="shared" si="45"/>
        <v>#NUM!</v>
      </c>
      <c r="AL60" s="176" t="s">
        <v>313</v>
      </c>
      <c r="AM60" s="177" t="s">
        <v>129</v>
      </c>
      <c r="AN60" s="58"/>
      <c r="AO60" s="58" t="s">
        <v>129</v>
      </c>
      <c r="AP60" s="102" t="s">
        <v>156</v>
      </c>
      <c r="AQ60" s="170"/>
      <c r="AR60" s="89" t="s">
        <v>121</v>
      </c>
      <c r="AS60" s="170"/>
      <c r="AT60" s="170"/>
      <c r="AU60" s="170"/>
      <c r="AV60" s="170"/>
      <c r="AW60" s="170"/>
      <c r="AX60" s="170"/>
      <c r="AY60" s="170"/>
      <c r="AZ60" s="170"/>
      <c r="BA60" s="170"/>
      <c r="BB60" s="178">
        <v>44817.0</v>
      </c>
      <c r="BC60" s="178">
        <v>44817.0</v>
      </c>
      <c r="BD60" s="178">
        <v>44817.0</v>
      </c>
      <c r="BE60" s="178">
        <v>44817.0</v>
      </c>
      <c r="BF60" s="178">
        <v>44817.0</v>
      </c>
      <c r="BG60" s="170" t="s">
        <v>314</v>
      </c>
      <c r="BH60" s="170" t="s">
        <v>315</v>
      </c>
      <c r="BI60" s="170" t="s">
        <v>129</v>
      </c>
    </row>
    <row r="61" ht="15.75" customHeight="1">
      <c r="A61" s="168" t="s">
        <v>306</v>
      </c>
      <c r="B61" s="168" t="s">
        <v>307</v>
      </c>
      <c r="C61" s="169" t="s">
        <v>327</v>
      </c>
      <c r="D61" s="170" t="s">
        <v>65</v>
      </c>
      <c r="E61" s="170" t="s">
        <v>309</v>
      </c>
      <c r="F61" s="171" t="s">
        <v>310</v>
      </c>
      <c r="G61" s="170"/>
      <c r="H61" s="170" t="s">
        <v>311</v>
      </c>
      <c r="I61" s="170"/>
      <c r="J61" s="170" t="s">
        <v>312</v>
      </c>
      <c r="K61" s="170" t="s">
        <v>69</v>
      </c>
      <c r="L61" s="172"/>
      <c r="M61" s="173">
        <v>2.0</v>
      </c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5"/>
      <c r="Y61" s="62">
        <f t="shared" si="46"/>
        <v>0</v>
      </c>
      <c r="Z61" s="64" t="str">
        <f t="shared" si="47"/>
        <v>#DIV/0!</v>
      </c>
      <c r="AA61" s="175"/>
      <c r="AB61" s="175"/>
      <c r="AC61" s="175"/>
      <c r="AD61" s="175"/>
      <c r="AE61" s="175"/>
      <c r="AF61" s="86" t="str">
        <f t="shared" si="41"/>
        <v>#REF!</v>
      </c>
      <c r="AG61" s="68" t="str">
        <f t="shared" si="42"/>
        <v>#NUM!</v>
      </c>
      <c r="AH61" s="175"/>
      <c r="AI61" s="68">
        <f t="shared" si="43"/>
        <v>0</v>
      </c>
      <c r="AJ61" s="68" t="str">
        <f t="shared" si="44"/>
        <v>#NUM!</v>
      </c>
      <c r="AK61" s="68" t="str">
        <f t="shared" si="45"/>
        <v>#NUM!</v>
      </c>
      <c r="AL61" s="176" t="s">
        <v>313</v>
      </c>
      <c r="AM61" s="177" t="s">
        <v>129</v>
      </c>
      <c r="AN61" s="58"/>
      <c r="AO61" s="58" t="s">
        <v>129</v>
      </c>
      <c r="AP61" s="102" t="s">
        <v>156</v>
      </c>
      <c r="AQ61" s="170"/>
      <c r="AR61" s="89" t="s">
        <v>121</v>
      </c>
      <c r="AS61" s="170"/>
      <c r="AT61" s="170"/>
      <c r="AU61" s="170"/>
      <c r="AV61" s="170"/>
      <c r="AW61" s="170"/>
      <c r="AX61" s="170"/>
      <c r="AY61" s="170"/>
      <c r="AZ61" s="170"/>
      <c r="BA61" s="170"/>
      <c r="BB61" s="178">
        <v>44817.0</v>
      </c>
      <c r="BC61" s="178">
        <v>44817.0</v>
      </c>
      <c r="BD61" s="178">
        <v>44817.0</v>
      </c>
      <c r="BE61" s="178">
        <v>44817.0</v>
      </c>
      <c r="BF61" s="178">
        <v>44817.0</v>
      </c>
      <c r="BG61" s="170" t="s">
        <v>314</v>
      </c>
      <c r="BH61" s="170" t="s">
        <v>315</v>
      </c>
      <c r="BI61" s="170" t="s">
        <v>129</v>
      </c>
    </row>
    <row r="62" ht="15.75" customHeight="1">
      <c r="A62" s="168" t="s">
        <v>306</v>
      </c>
      <c r="B62" s="168" t="s">
        <v>307</v>
      </c>
      <c r="C62" s="169" t="s">
        <v>328</v>
      </c>
      <c r="D62" s="170" t="s">
        <v>65</v>
      </c>
      <c r="E62" s="170" t="s">
        <v>309</v>
      </c>
      <c r="F62" s="171" t="s">
        <v>310</v>
      </c>
      <c r="G62" s="170"/>
      <c r="H62" s="170" t="s">
        <v>311</v>
      </c>
      <c r="I62" s="170"/>
      <c r="J62" s="170" t="s">
        <v>312</v>
      </c>
      <c r="K62" s="170" t="s">
        <v>69</v>
      </c>
      <c r="L62" s="172"/>
      <c r="M62" s="173">
        <v>3.0</v>
      </c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5"/>
      <c r="Y62" s="62">
        <f t="shared" si="46"/>
        <v>0</v>
      </c>
      <c r="Z62" s="64" t="str">
        <f t="shared" si="47"/>
        <v>#DIV/0!</v>
      </c>
      <c r="AA62" s="175"/>
      <c r="AB62" s="175"/>
      <c r="AC62" s="175"/>
      <c r="AD62" s="175"/>
      <c r="AE62" s="175"/>
      <c r="AF62" s="86" t="str">
        <f t="shared" si="41"/>
        <v>#REF!</v>
      </c>
      <c r="AG62" s="68" t="str">
        <f t="shared" si="42"/>
        <v>#NUM!</v>
      </c>
      <c r="AH62" s="175"/>
      <c r="AI62" s="68">
        <f t="shared" si="43"/>
        <v>0</v>
      </c>
      <c r="AJ62" s="68" t="str">
        <f t="shared" si="44"/>
        <v>#NUM!</v>
      </c>
      <c r="AK62" s="68" t="str">
        <f t="shared" si="45"/>
        <v>#NUM!</v>
      </c>
      <c r="AL62" s="176" t="s">
        <v>313</v>
      </c>
      <c r="AM62" s="177" t="s">
        <v>129</v>
      </c>
      <c r="AN62" s="58"/>
      <c r="AO62" s="58" t="s">
        <v>129</v>
      </c>
      <c r="AP62" s="102" t="s">
        <v>156</v>
      </c>
      <c r="AQ62" s="170"/>
      <c r="AR62" s="89" t="s">
        <v>121</v>
      </c>
      <c r="AS62" s="170"/>
      <c r="AT62" s="170"/>
      <c r="AU62" s="170"/>
      <c r="AV62" s="170"/>
      <c r="AW62" s="170"/>
      <c r="AX62" s="170"/>
      <c r="AY62" s="170"/>
      <c r="AZ62" s="170"/>
      <c r="BA62" s="170"/>
      <c r="BB62" s="178">
        <v>44817.0</v>
      </c>
      <c r="BC62" s="178">
        <v>44817.0</v>
      </c>
      <c r="BD62" s="178">
        <v>44817.0</v>
      </c>
      <c r="BE62" s="178">
        <v>44817.0</v>
      </c>
      <c r="BF62" s="178">
        <v>44817.0</v>
      </c>
      <c r="BG62" s="170" t="s">
        <v>314</v>
      </c>
      <c r="BH62" s="170" t="s">
        <v>315</v>
      </c>
      <c r="BI62" s="170" t="s">
        <v>129</v>
      </c>
    </row>
    <row r="63" ht="15.75" customHeight="1">
      <c r="A63" s="168" t="s">
        <v>306</v>
      </c>
      <c r="B63" s="168" t="s">
        <v>307</v>
      </c>
      <c r="C63" s="169" t="s">
        <v>329</v>
      </c>
      <c r="D63" s="170" t="s">
        <v>65</v>
      </c>
      <c r="E63" s="170" t="s">
        <v>309</v>
      </c>
      <c r="F63" s="171" t="s">
        <v>310</v>
      </c>
      <c r="G63" s="170"/>
      <c r="H63" s="170" t="s">
        <v>311</v>
      </c>
      <c r="I63" s="170"/>
      <c r="J63" s="170" t="s">
        <v>312</v>
      </c>
      <c r="K63" s="170" t="s">
        <v>69</v>
      </c>
      <c r="L63" s="172"/>
      <c r="M63" s="173">
        <v>2.0</v>
      </c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5"/>
      <c r="Y63" s="62">
        <f t="shared" si="46"/>
        <v>0</v>
      </c>
      <c r="Z63" s="64" t="str">
        <f t="shared" si="47"/>
        <v>#DIV/0!</v>
      </c>
      <c r="AA63" s="175"/>
      <c r="AB63" s="175"/>
      <c r="AC63" s="175"/>
      <c r="AD63" s="175"/>
      <c r="AE63" s="175"/>
      <c r="AF63" s="86" t="str">
        <f t="shared" si="41"/>
        <v>#REF!</v>
      </c>
      <c r="AG63" s="68" t="str">
        <f t="shared" si="42"/>
        <v>#NUM!</v>
      </c>
      <c r="AH63" s="175"/>
      <c r="AI63" s="68">
        <f t="shared" si="43"/>
        <v>0</v>
      </c>
      <c r="AJ63" s="68" t="str">
        <f t="shared" si="44"/>
        <v>#NUM!</v>
      </c>
      <c r="AK63" s="68" t="str">
        <f t="shared" si="45"/>
        <v>#NUM!</v>
      </c>
      <c r="AL63" s="176" t="s">
        <v>313</v>
      </c>
      <c r="AM63" s="177" t="s">
        <v>129</v>
      </c>
      <c r="AN63" s="58"/>
      <c r="AO63" s="58" t="s">
        <v>129</v>
      </c>
      <c r="AP63" s="102" t="s">
        <v>156</v>
      </c>
      <c r="AQ63" s="170"/>
      <c r="AR63" s="89" t="s">
        <v>121</v>
      </c>
      <c r="AS63" s="170"/>
      <c r="AT63" s="170"/>
      <c r="AU63" s="170"/>
      <c r="AV63" s="170"/>
      <c r="AW63" s="170"/>
      <c r="AX63" s="170"/>
      <c r="AY63" s="170"/>
      <c r="AZ63" s="170"/>
      <c r="BA63" s="170"/>
      <c r="BB63" s="178">
        <v>44817.0</v>
      </c>
      <c r="BC63" s="178">
        <v>44817.0</v>
      </c>
      <c r="BD63" s="178">
        <v>44817.0</v>
      </c>
      <c r="BE63" s="178">
        <v>44817.0</v>
      </c>
      <c r="BF63" s="178">
        <v>44817.0</v>
      </c>
      <c r="BG63" s="170" t="s">
        <v>314</v>
      </c>
      <c r="BH63" s="170" t="s">
        <v>315</v>
      </c>
      <c r="BI63" s="170" t="s">
        <v>129</v>
      </c>
    </row>
    <row r="64" ht="15.75" customHeight="1">
      <c r="A64" s="168" t="s">
        <v>306</v>
      </c>
      <c r="B64" s="168" t="s">
        <v>307</v>
      </c>
      <c r="C64" s="169" t="s">
        <v>330</v>
      </c>
      <c r="D64" s="170" t="s">
        <v>65</v>
      </c>
      <c r="E64" s="170" t="s">
        <v>309</v>
      </c>
      <c r="F64" s="171" t="s">
        <v>310</v>
      </c>
      <c r="G64" s="170"/>
      <c r="H64" s="170" t="s">
        <v>311</v>
      </c>
      <c r="I64" s="170"/>
      <c r="J64" s="170" t="s">
        <v>312</v>
      </c>
      <c r="K64" s="170" t="s">
        <v>69</v>
      </c>
      <c r="L64" s="172"/>
      <c r="M64" s="173">
        <v>4.0</v>
      </c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5"/>
      <c r="Y64" s="62">
        <f t="shared" si="46"/>
        <v>0</v>
      </c>
      <c r="Z64" s="64" t="str">
        <f t="shared" si="47"/>
        <v>#DIV/0!</v>
      </c>
      <c r="AA64" s="175"/>
      <c r="AB64" s="175"/>
      <c r="AC64" s="175"/>
      <c r="AD64" s="175"/>
      <c r="AE64" s="175"/>
      <c r="AF64" s="86" t="str">
        <f t="shared" si="41"/>
        <v>#REF!</v>
      </c>
      <c r="AG64" s="68" t="str">
        <f t="shared" si="42"/>
        <v>#NUM!</v>
      </c>
      <c r="AH64" s="175"/>
      <c r="AI64" s="68">
        <f t="shared" si="43"/>
        <v>0</v>
      </c>
      <c r="AJ64" s="68" t="str">
        <f t="shared" si="44"/>
        <v>#NUM!</v>
      </c>
      <c r="AK64" s="68" t="str">
        <f t="shared" si="45"/>
        <v>#NUM!</v>
      </c>
      <c r="AL64" s="176" t="s">
        <v>313</v>
      </c>
      <c r="AM64" s="177" t="s">
        <v>129</v>
      </c>
      <c r="AN64" s="58"/>
      <c r="AO64" s="58" t="s">
        <v>129</v>
      </c>
      <c r="AP64" s="102" t="s">
        <v>156</v>
      </c>
      <c r="AQ64" s="170"/>
      <c r="AR64" s="89" t="s">
        <v>121</v>
      </c>
      <c r="AS64" s="170"/>
      <c r="AT64" s="170"/>
      <c r="AU64" s="170"/>
      <c r="AV64" s="170"/>
      <c r="AW64" s="170"/>
      <c r="AX64" s="170"/>
      <c r="AY64" s="170"/>
      <c r="AZ64" s="170"/>
      <c r="BA64" s="170"/>
      <c r="BB64" s="178">
        <v>44817.0</v>
      </c>
      <c r="BC64" s="178">
        <v>44817.0</v>
      </c>
      <c r="BD64" s="178">
        <v>44817.0</v>
      </c>
      <c r="BE64" s="178">
        <v>44817.0</v>
      </c>
      <c r="BF64" s="178">
        <v>44817.0</v>
      </c>
      <c r="BG64" s="170" t="s">
        <v>314</v>
      </c>
      <c r="BH64" s="170" t="s">
        <v>315</v>
      </c>
      <c r="BI64" s="170" t="s">
        <v>129</v>
      </c>
    </row>
    <row r="65" ht="15.75" customHeight="1">
      <c r="A65" s="168" t="s">
        <v>306</v>
      </c>
      <c r="B65" s="168" t="s">
        <v>307</v>
      </c>
      <c r="C65" s="169" t="s">
        <v>331</v>
      </c>
      <c r="D65" s="170" t="s">
        <v>65</v>
      </c>
      <c r="E65" s="170" t="s">
        <v>309</v>
      </c>
      <c r="F65" s="171" t="s">
        <v>310</v>
      </c>
      <c r="G65" s="170"/>
      <c r="H65" s="170" t="s">
        <v>311</v>
      </c>
      <c r="I65" s="170"/>
      <c r="J65" s="170" t="s">
        <v>312</v>
      </c>
      <c r="K65" s="170" t="s">
        <v>69</v>
      </c>
      <c r="L65" s="172"/>
      <c r="M65" s="173">
        <v>6.0</v>
      </c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5"/>
      <c r="Y65" s="62">
        <f t="shared" si="46"/>
        <v>0</v>
      </c>
      <c r="Z65" s="64" t="str">
        <f t="shared" si="47"/>
        <v>#DIV/0!</v>
      </c>
      <c r="AA65" s="175"/>
      <c r="AB65" s="175"/>
      <c r="AC65" s="175"/>
      <c r="AD65" s="175"/>
      <c r="AE65" s="175"/>
      <c r="AF65" s="86" t="str">
        <f t="shared" si="41"/>
        <v>#REF!</v>
      </c>
      <c r="AG65" s="68" t="str">
        <f t="shared" si="42"/>
        <v>#NUM!</v>
      </c>
      <c r="AH65" s="175"/>
      <c r="AI65" s="68">
        <f t="shared" si="43"/>
        <v>0</v>
      </c>
      <c r="AJ65" s="68" t="str">
        <f t="shared" si="44"/>
        <v>#NUM!</v>
      </c>
      <c r="AK65" s="68" t="str">
        <f t="shared" si="45"/>
        <v>#NUM!</v>
      </c>
      <c r="AL65" s="176" t="s">
        <v>313</v>
      </c>
      <c r="AM65" s="177" t="s">
        <v>129</v>
      </c>
      <c r="AN65" s="58"/>
      <c r="AO65" s="58" t="s">
        <v>129</v>
      </c>
      <c r="AP65" s="102" t="s">
        <v>156</v>
      </c>
      <c r="AQ65" s="170"/>
      <c r="AR65" s="89" t="s">
        <v>121</v>
      </c>
      <c r="AS65" s="170"/>
      <c r="AT65" s="170"/>
      <c r="AU65" s="170"/>
      <c r="AV65" s="170"/>
      <c r="AW65" s="170"/>
      <c r="AX65" s="170"/>
      <c r="AY65" s="170"/>
      <c r="AZ65" s="170"/>
      <c r="BA65" s="170"/>
      <c r="BB65" s="178">
        <v>44817.0</v>
      </c>
      <c r="BC65" s="178">
        <v>44817.0</v>
      </c>
      <c r="BD65" s="178">
        <v>44817.0</v>
      </c>
      <c r="BE65" s="178">
        <v>44817.0</v>
      </c>
      <c r="BF65" s="178">
        <v>44817.0</v>
      </c>
      <c r="BG65" s="170" t="s">
        <v>314</v>
      </c>
      <c r="BH65" s="170" t="s">
        <v>315</v>
      </c>
      <c r="BI65" s="170" t="s">
        <v>129</v>
      </c>
    </row>
    <row r="66" ht="15.75" customHeight="1">
      <c r="A66" s="168" t="s">
        <v>306</v>
      </c>
      <c r="B66" s="168" t="s">
        <v>307</v>
      </c>
      <c r="C66" s="169" t="s">
        <v>332</v>
      </c>
      <c r="D66" s="170" t="s">
        <v>65</v>
      </c>
      <c r="E66" s="170" t="s">
        <v>309</v>
      </c>
      <c r="F66" s="171" t="s">
        <v>310</v>
      </c>
      <c r="G66" s="170"/>
      <c r="H66" s="170" t="s">
        <v>311</v>
      </c>
      <c r="I66" s="170"/>
      <c r="J66" s="170" t="s">
        <v>312</v>
      </c>
      <c r="K66" s="170" t="s">
        <v>69</v>
      </c>
      <c r="L66" s="172"/>
      <c r="M66" s="173">
        <v>2.0</v>
      </c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5"/>
      <c r="Y66" s="62">
        <f t="shared" si="46"/>
        <v>0</v>
      </c>
      <c r="Z66" s="64" t="str">
        <f t="shared" si="47"/>
        <v>#DIV/0!</v>
      </c>
      <c r="AA66" s="175"/>
      <c r="AB66" s="175"/>
      <c r="AC66" s="175"/>
      <c r="AD66" s="175"/>
      <c r="AE66" s="175"/>
      <c r="AF66" s="86" t="str">
        <f t="shared" si="41"/>
        <v>#REF!</v>
      </c>
      <c r="AG66" s="68" t="str">
        <f t="shared" si="42"/>
        <v>#NUM!</v>
      </c>
      <c r="AH66" s="175"/>
      <c r="AI66" s="68">
        <f t="shared" si="43"/>
        <v>0</v>
      </c>
      <c r="AJ66" s="68" t="str">
        <f t="shared" si="44"/>
        <v>#NUM!</v>
      </c>
      <c r="AK66" s="68" t="str">
        <f t="shared" si="45"/>
        <v>#NUM!</v>
      </c>
      <c r="AL66" s="176" t="s">
        <v>313</v>
      </c>
      <c r="AM66" s="177" t="s">
        <v>129</v>
      </c>
      <c r="AN66" s="58"/>
      <c r="AO66" s="58" t="s">
        <v>129</v>
      </c>
      <c r="AP66" s="102" t="s">
        <v>156</v>
      </c>
      <c r="AQ66" s="170"/>
      <c r="AR66" s="89" t="s">
        <v>121</v>
      </c>
      <c r="AS66" s="170"/>
      <c r="AT66" s="170"/>
      <c r="AU66" s="170"/>
      <c r="AV66" s="170"/>
      <c r="AW66" s="170"/>
      <c r="AX66" s="170"/>
      <c r="AY66" s="170"/>
      <c r="AZ66" s="170"/>
      <c r="BA66" s="170"/>
      <c r="BB66" s="178">
        <v>44817.0</v>
      </c>
      <c r="BC66" s="178">
        <v>44817.0</v>
      </c>
      <c r="BD66" s="178">
        <v>44817.0</v>
      </c>
      <c r="BE66" s="178">
        <v>44817.0</v>
      </c>
      <c r="BF66" s="178">
        <v>44817.0</v>
      </c>
      <c r="BG66" s="170" t="s">
        <v>314</v>
      </c>
      <c r="BH66" s="170" t="s">
        <v>315</v>
      </c>
      <c r="BI66" s="170" t="s">
        <v>129</v>
      </c>
    </row>
    <row r="67" ht="15.75" customHeight="1">
      <c r="A67" s="168" t="s">
        <v>306</v>
      </c>
      <c r="B67" s="168" t="s">
        <v>307</v>
      </c>
      <c r="C67" s="169" t="s">
        <v>333</v>
      </c>
      <c r="D67" s="170" t="s">
        <v>65</v>
      </c>
      <c r="E67" s="170" t="s">
        <v>309</v>
      </c>
      <c r="F67" s="171" t="s">
        <v>310</v>
      </c>
      <c r="G67" s="170"/>
      <c r="H67" s="170" t="s">
        <v>311</v>
      </c>
      <c r="I67" s="170"/>
      <c r="J67" s="170" t="s">
        <v>312</v>
      </c>
      <c r="K67" s="170" t="s">
        <v>69</v>
      </c>
      <c r="L67" s="172"/>
      <c r="M67" s="173">
        <v>2.0</v>
      </c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5"/>
      <c r="Y67" s="62">
        <f t="shared" si="46"/>
        <v>0</v>
      </c>
      <c r="Z67" s="64" t="str">
        <f t="shared" si="47"/>
        <v>#DIV/0!</v>
      </c>
      <c r="AA67" s="175"/>
      <c r="AB67" s="175"/>
      <c r="AC67" s="175"/>
      <c r="AD67" s="175"/>
      <c r="AE67" s="175"/>
      <c r="AF67" s="86" t="str">
        <f t="shared" si="41"/>
        <v>#REF!</v>
      </c>
      <c r="AG67" s="68" t="str">
        <f t="shared" si="42"/>
        <v>#NUM!</v>
      </c>
      <c r="AH67" s="175"/>
      <c r="AI67" s="68">
        <f t="shared" si="43"/>
        <v>0</v>
      </c>
      <c r="AJ67" s="68" t="str">
        <f t="shared" si="44"/>
        <v>#NUM!</v>
      </c>
      <c r="AK67" s="68" t="str">
        <f t="shared" si="45"/>
        <v>#NUM!</v>
      </c>
      <c r="AL67" s="176" t="s">
        <v>313</v>
      </c>
      <c r="AM67" s="177" t="s">
        <v>129</v>
      </c>
      <c r="AN67" s="58"/>
      <c r="AO67" s="58" t="s">
        <v>129</v>
      </c>
      <c r="AP67" s="102" t="s">
        <v>156</v>
      </c>
      <c r="AQ67" s="170"/>
      <c r="AR67" s="89" t="s">
        <v>121</v>
      </c>
      <c r="AS67" s="170"/>
      <c r="AT67" s="170"/>
      <c r="AU67" s="170"/>
      <c r="AV67" s="170"/>
      <c r="AW67" s="170"/>
      <c r="AX67" s="170"/>
      <c r="AY67" s="170"/>
      <c r="AZ67" s="170"/>
      <c r="BA67" s="170"/>
      <c r="BB67" s="178">
        <v>44817.0</v>
      </c>
      <c r="BC67" s="178">
        <v>44817.0</v>
      </c>
      <c r="BD67" s="178">
        <v>44817.0</v>
      </c>
      <c r="BE67" s="178">
        <v>44817.0</v>
      </c>
      <c r="BF67" s="178">
        <v>44817.0</v>
      </c>
      <c r="BG67" s="170" t="s">
        <v>314</v>
      </c>
      <c r="BH67" s="170" t="s">
        <v>315</v>
      </c>
      <c r="BI67" s="170" t="s">
        <v>129</v>
      </c>
    </row>
    <row r="68" ht="15.75" customHeight="1">
      <c r="A68" s="168" t="s">
        <v>306</v>
      </c>
      <c r="B68" s="168" t="s">
        <v>307</v>
      </c>
      <c r="C68" s="169" t="s">
        <v>334</v>
      </c>
      <c r="D68" s="170" t="s">
        <v>65</v>
      </c>
      <c r="E68" s="170" t="s">
        <v>309</v>
      </c>
      <c r="F68" s="171" t="s">
        <v>310</v>
      </c>
      <c r="G68" s="170"/>
      <c r="H68" s="170" t="s">
        <v>311</v>
      </c>
      <c r="I68" s="170"/>
      <c r="J68" s="170" t="s">
        <v>312</v>
      </c>
      <c r="K68" s="170" t="s">
        <v>69</v>
      </c>
      <c r="L68" s="172"/>
      <c r="M68" s="173">
        <v>1.0</v>
      </c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5"/>
      <c r="Y68" s="62">
        <f t="shared" si="46"/>
        <v>0</v>
      </c>
      <c r="Z68" s="64" t="str">
        <f t="shared" si="47"/>
        <v>#DIV/0!</v>
      </c>
      <c r="AA68" s="175"/>
      <c r="AB68" s="175"/>
      <c r="AC68" s="175"/>
      <c r="AD68" s="175"/>
      <c r="AE68" s="175"/>
      <c r="AF68" s="86" t="str">
        <f t="shared" si="41"/>
        <v>#REF!</v>
      </c>
      <c r="AG68" s="68" t="str">
        <f t="shared" si="42"/>
        <v>#NUM!</v>
      </c>
      <c r="AH68" s="175"/>
      <c r="AI68" s="68">
        <f t="shared" si="43"/>
        <v>0</v>
      </c>
      <c r="AJ68" s="68" t="str">
        <f t="shared" si="44"/>
        <v>#NUM!</v>
      </c>
      <c r="AK68" s="68" t="str">
        <f t="shared" si="45"/>
        <v>#NUM!</v>
      </c>
      <c r="AL68" s="176" t="s">
        <v>313</v>
      </c>
      <c r="AM68" s="177" t="s">
        <v>129</v>
      </c>
      <c r="AN68" s="58"/>
      <c r="AO68" s="58" t="s">
        <v>129</v>
      </c>
      <c r="AP68" s="102" t="s">
        <v>156</v>
      </c>
      <c r="AQ68" s="170"/>
      <c r="AR68" s="89" t="s">
        <v>121</v>
      </c>
      <c r="AS68" s="170"/>
      <c r="AT68" s="170"/>
      <c r="AU68" s="170"/>
      <c r="AV68" s="170"/>
      <c r="AW68" s="170"/>
      <c r="AX68" s="170"/>
      <c r="AY68" s="170"/>
      <c r="AZ68" s="170"/>
      <c r="BA68" s="170"/>
      <c r="BB68" s="178">
        <v>44817.0</v>
      </c>
      <c r="BC68" s="178">
        <v>44817.0</v>
      </c>
      <c r="BD68" s="178">
        <v>44817.0</v>
      </c>
      <c r="BE68" s="178">
        <v>44817.0</v>
      </c>
      <c r="BF68" s="178">
        <v>44817.0</v>
      </c>
      <c r="BG68" s="170" t="s">
        <v>314</v>
      </c>
      <c r="BH68" s="170" t="s">
        <v>315</v>
      </c>
      <c r="BI68" s="170" t="s">
        <v>129</v>
      </c>
    </row>
    <row r="69" ht="15.75" customHeight="1">
      <c r="A69" s="168" t="s">
        <v>306</v>
      </c>
      <c r="B69" s="168" t="s">
        <v>307</v>
      </c>
      <c r="C69" s="169" t="s">
        <v>335</v>
      </c>
      <c r="D69" s="170" t="s">
        <v>65</v>
      </c>
      <c r="E69" s="170" t="s">
        <v>309</v>
      </c>
      <c r="F69" s="171" t="s">
        <v>310</v>
      </c>
      <c r="G69" s="170"/>
      <c r="H69" s="170" t="s">
        <v>311</v>
      </c>
      <c r="I69" s="170"/>
      <c r="J69" s="170" t="s">
        <v>312</v>
      </c>
      <c r="K69" s="170" t="s">
        <v>69</v>
      </c>
      <c r="L69" s="172"/>
      <c r="M69" s="173">
        <v>3.0</v>
      </c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5"/>
      <c r="Y69" s="62">
        <f t="shared" si="46"/>
        <v>0</v>
      </c>
      <c r="Z69" s="64" t="str">
        <f t="shared" si="47"/>
        <v>#DIV/0!</v>
      </c>
      <c r="AA69" s="175"/>
      <c r="AB69" s="175"/>
      <c r="AC69" s="175"/>
      <c r="AD69" s="175"/>
      <c r="AE69" s="175"/>
      <c r="AF69" s="86" t="str">
        <f t="shared" si="41"/>
        <v>#REF!</v>
      </c>
      <c r="AG69" s="68" t="str">
        <f t="shared" si="42"/>
        <v>#NUM!</v>
      </c>
      <c r="AH69" s="175"/>
      <c r="AI69" s="68">
        <f t="shared" si="43"/>
        <v>0</v>
      </c>
      <c r="AJ69" s="68" t="str">
        <f t="shared" si="44"/>
        <v>#NUM!</v>
      </c>
      <c r="AK69" s="68" t="str">
        <f t="shared" si="45"/>
        <v>#NUM!</v>
      </c>
      <c r="AL69" s="176" t="s">
        <v>313</v>
      </c>
      <c r="AM69" s="177" t="s">
        <v>129</v>
      </c>
      <c r="AN69" s="58"/>
      <c r="AO69" s="58" t="s">
        <v>129</v>
      </c>
      <c r="AP69" s="102" t="s">
        <v>156</v>
      </c>
      <c r="AQ69" s="170"/>
      <c r="AR69" s="89" t="s">
        <v>121</v>
      </c>
      <c r="AS69" s="170"/>
      <c r="AT69" s="170"/>
      <c r="AU69" s="170"/>
      <c r="AV69" s="170"/>
      <c r="AW69" s="170"/>
      <c r="AX69" s="170"/>
      <c r="AY69" s="170"/>
      <c r="AZ69" s="170"/>
      <c r="BA69" s="170"/>
      <c r="BB69" s="178">
        <v>44817.0</v>
      </c>
      <c r="BC69" s="178">
        <v>44817.0</v>
      </c>
      <c r="BD69" s="178">
        <v>44817.0</v>
      </c>
      <c r="BE69" s="178">
        <v>44817.0</v>
      </c>
      <c r="BF69" s="178">
        <v>44817.0</v>
      </c>
      <c r="BG69" s="170" t="s">
        <v>314</v>
      </c>
      <c r="BH69" s="170" t="s">
        <v>315</v>
      </c>
      <c r="BI69" s="170" t="s">
        <v>129</v>
      </c>
    </row>
    <row r="70" ht="15.75" customHeight="1">
      <c r="A70" s="168" t="s">
        <v>306</v>
      </c>
      <c r="B70" s="168" t="s">
        <v>307</v>
      </c>
      <c r="C70" s="169" t="s">
        <v>336</v>
      </c>
      <c r="D70" s="170" t="s">
        <v>65</v>
      </c>
      <c r="E70" s="170" t="s">
        <v>309</v>
      </c>
      <c r="F70" s="171" t="s">
        <v>310</v>
      </c>
      <c r="G70" s="170"/>
      <c r="H70" s="170" t="s">
        <v>311</v>
      </c>
      <c r="I70" s="170"/>
      <c r="J70" s="170" t="s">
        <v>312</v>
      </c>
      <c r="K70" s="170" t="s">
        <v>69</v>
      </c>
      <c r="L70" s="172"/>
      <c r="M70" s="173">
        <v>3.0</v>
      </c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5"/>
      <c r="Y70" s="62">
        <f t="shared" si="46"/>
        <v>0</v>
      </c>
      <c r="Z70" s="64" t="str">
        <f t="shared" si="47"/>
        <v>#DIV/0!</v>
      </c>
      <c r="AA70" s="175"/>
      <c r="AB70" s="175"/>
      <c r="AC70" s="175"/>
      <c r="AD70" s="175"/>
      <c r="AE70" s="175"/>
      <c r="AF70" s="86" t="str">
        <f t="shared" si="41"/>
        <v>#REF!</v>
      </c>
      <c r="AG70" s="68" t="str">
        <f t="shared" si="42"/>
        <v>#NUM!</v>
      </c>
      <c r="AH70" s="175"/>
      <c r="AI70" s="68">
        <f t="shared" si="43"/>
        <v>0</v>
      </c>
      <c r="AJ70" s="68" t="str">
        <f t="shared" si="44"/>
        <v>#NUM!</v>
      </c>
      <c r="AK70" s="68" t="str">
        <f t="shared" si="45"/>
        <v>#NUM!</v>
      </c>
      <c r="AL70" s="176" t="s">
        <v>313</v>
      </c>
      <c r="AM70" s="177" t="s">
        <v>129</v>
      </c>
      <c r="AN70" s="58"/>
      <c r="AO70" s="58" t="s">
        <v>129</v>
      </c>
      <c r="AP70" s="102" t="s">
        <v>156</v>
      </c>
      <c r="AQ70" s="170"/>
      <c r="AR70" s="89" t="s">
        <v>121</v>
      </c>
      <c r="AS70" s="170"/>
      <c r="AT70" s="170"/>
      <c r="AU70" s="170"/>
      <c r="AV70" s="170"/>
      <c r="AW70" s="170"/>
      <c r="AX70" s="170"/>
      <c r="AY70" s="170"/>
      <c r="AZ70" s="170"/>
      <c r="BA70" s="170"/>
      <c r="BB70" s="178">
        <v>44817.0</v>
      </c>
      <c r="BC70" s="178">
        <v>44817.0</v>
      </c>
      <c r="BD70" s="178">
        <v>44817.0</v>
      </c>
      <c r="BE70" s="178">
        <v>44817.0</v>
      </c>
      <c r="BF70" s="178">
        <v>44817.0</v>
      </c>
      <c r="BG70" s="170" t="s">
        <v>314</v>
      </c>
      <c r="BH70" s="170" t="s">
        <v>315</v>
      </c>
      <c r="BI70" s="170" t="s">
        <v>129</v>
      </c>
    </row>
    <row r="71" ht="15.75" customHeight="1">
      <c r="A71" s="168" t="s">
        <v>306</v>
      </c>
      <c r="B71" s="168" t="s">
        <v>307</v>
      </c>
      <c r="C71" s="169" t="s">
        <v>337</v>
      </c>
      <c r="D71" s="170" t="s">
        <v>65</v>
      </c>
      <c r="E71" s="170" t="s">
        <v>309</v>
      </c>
      <c r="F71" s="171" t="s">
        <v>310</v>
      </c>
      <c r="G71" s="170"/>
      <c r="H71" s="170" t="s">
        <v>311</v>
      </c>
      <c r="I71" s="170"/>
      <c r="J71" s="170" t="s">
        <v>312</v>
      </c>
      <c r="K71" s="170" t="s">
        <v>69</v>
      </c>
      <c r="L71" s="172"/>
      <c r="M71" s="173">
        <v>12.0</v>
      </c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5"/>
      <c r="Y71" s="62">
        <f t="shared" si="46"/>
        <v>0</v>
      </c>
      <c r="Z71" s="64" t="str">
        <f t="shared" si="47"/>
        <v>#DIV/0!</v>
      </c>
      <c r="AA71" s="175"/>
      <c r="AB71" s="175"/>
      <c r="AC71" s="175"/>
      <c r="AD71" s="175"/>
      <c r="AE71" s="175"/>
      <c r="AF71" s="86" t="str">
        <f t="shared" si="41"/>
        <v>#REF!</v>
      </c>
      <c r="AG71" s="68" t="str">
        <f t="shared" si="42"/>
        <v>#NUM!</v>
      </c>
      <c r="AH71" s="175"/>
      <c r="AI71" s="68">
        <f t="shared" si="43"/>
        <v>0</v>
      </c>
      <c r="AJ71" s="68" t="str">
        <f t="shared" si="44"/>
        <v>#NUM!</v>
      </c>
      <c r="AK71" s="68" t="str">
        <f t="shared" si="45"/>
        <v>#NUM!</v>
      </c>
      <c r="AL71" s="176" t="s">
        <v>313</v>
      </c>
      <c r="AM71" s="177" t="s">
        <v>129</v>
      </c>
      <c r="AN71" s="58"/>
      <c r="AO71" s="58" t="s">
        <v>129</v>
      </c>
      <c r="AP71" s="102" t="s">
        <v>156</v>
      </c>
      <c r="AQ71" s="170"/>
      <c r="AR71" s="89" t="s">
        <v>121</v>
      </c>
      <c r="AS71" s="170"/>
      <c r="AT71" s="170"/>
      <c r="AU71" s="170"/>
      <c r="AV71" s="170"/>
      <c r="AW71" s="170"/>
      <c r="AX71" s="170"/>
      <c r="AY71" s="170"/>
      <c r="AZ71" s="170"/>
      <c r="BA71" s="170"/>
      <c r="BB71" s="178">
        <v>44817.0</v>
      </c>
      <c r="BC71" s="178">
        <v>44817.0</v>
      </c>
      <c r="BD71" s="178">
        <v>44817.0</v>
      </c>
      <c r="BE71" s="178">
        <v>44817.0</v>
      </c>
      <c r="BF71" s="178">
        <v>44817.0</v>
      </c>
      <c r="BG71" s="170" t="s">
        <v>314</v>
      </c>
      <c r="BH71" s="170" t="s">
        <v>315</v>
      </c>
      <c r="BI71" s="170" t="s">
        <v>129</v>
      </c>
    </row>
    <row r="72" ht="15.75" customHeight="1">
      <c r="A72" s="168" t="s">
        <v>306</v>
      </c>
      <c r="B72" s="168" t="s">
        <v>307</v>
      </c>
      <c r="C72" s="169" t="s">
        <v>338</v>
      </c>
      <c r="D72" s="170" t="s">
        <v>65</v>
      </c>
      <c r="E72" s="170" t="s">
        <v>309</v>
      </c>
      <c r="F72" s="171" t="s">
        <v>310</v>
      </c>
      <c r="G72" s="170"/>
      <c r="H72" s="170" t="s">
        <v>311</v>
      </c>
      <c r="I72" s="170"/>
      <c r="J72" s="170" t="s">
        <v>312</v>
      </c>
      <c r="K72" s="170" t="s">
        <v>69</v>
      </c>
      <c r="L72" s="172"/>
      <c r="M72" s="173">
        <v>1.0</v>
      </c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5"/>
      <c r="Y72" s="62">
        <f t="shared" si="46"/>
        <v>0</v>
      </c>
      <c r="Z72" s="64" t="str">
        <f t="shared" si="47"/>
        <v>#DIV/0!</v>
      </c>
      <c r="AA72" s="175"/>
      <c r="AB72" s="175"/>
      <c r="AC72" s="175"/>
      <c r="AD72" s="175"/>
      <c r="AE72" s="175"/>
      <c r="AF72" s="86" t="str">
        <f t="shared" si="41"/>
        <v>#REF!</v>
      </c>
      <c r="AG72" s="68" t="str">
        <f t="shared" si="42"/>
        <v>#NUM!</v>
      </c>
      <c r="AH72" s="175"/>
      <c r="AI72" s="68">
        <f t="shared" si="43"/>
        <v>0</v>
      </c>
      <c r="AJ72" s="68" t="str">
        <f t="shared" si="44"/>
        <v>#NUM!</v>
      </c>
      <c r="AK72" s="68" t="str">
        <f t="shared" si="45"/>
        <v>#NUM!</v>
      </c>
      <c r="AL72" s="176" t="s">
        <v>313</v>
      </c>
      <c r="AM72" s="177" t="s">
        <v>129</v>
      </c>
      <c r="AN72" s="58"/>
      <c r="AO72" s="58" t="s">
        <v>129</v>
      </c>
      <c r="AP72" s="102" t="s">
        <v>156</v>
      </c>
      <c r="AQ72" s="170"/>
      <c r="AR72" s="89" t="s">
        <v>121</v>
      </c>
      <c r="AS72" s="170"/>
      <c r="AT72" s="170"/>
      <c r="AU72" s="170"/>
      <c r="AV72" s="170"/>
      <c r="AW72" s="170"/>
      <c r="AX72" s="170"/>
      <c r="AY72" s="170"/>
      <c r="AZ72" s="170"/>
      <c r="BA72" s="170"/>
      <c r="BB72" s="178">
        <v>44817.0</v>
      </c>
      <c r="BC72" s="178">
        <v>44817.0</v>
      </c>
      <c r="BD72" s="178">
        <v>44817.0</v>
      </c>
      <c r="BE72" s="178">
        <v>44817.0</v>
      </c>
      <c r="BF72" s="178">
        <v>44817.0</v>
      </c>
      <c r="BG72" s="170" t="s">
        <v>314</v>
      </c>
      <c r="BH72" s="170" t="s">
        <v>315</v>
      </c>
      <c r="BI72" s="170" t="s">
        <v>129</v>
      </c>
    </row>
    <row r="73" ht="15.75" customHeight="1">
      <c r="A73" s="168" t="s">
        <v>306</v>
      </c>
      <c r="B73" s="168" t="s">
        <v>307</v>
      </c>
      <c r="C73" s="169" t="s">
        <v>339</v>
      </c>
      <c r="D73" s="170" t="s">
        <v>65</v>
      </c>
      <c r="E73" s="170" t="s">
        <v>309</v>
      </c>
      <c r="F73" s="171" t="s">
        <v>310</v>
      </c>
      <c r="G73" s="170"/>
      <c r="H73" s="170" t="s">
        <v>311</v>
      </c>
      <c r="I73" s="170"/>
      <c r="J73" s="170" t="s">
        <v>312</v>
      </c>
      <c r="K73" s="170" t="s">
        <v>69</v>
      </c>
      <c r="L73" s="172"/>
      <c r="M73" s="173">
        <v>2.0</v>
      </c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5"/>
      <c r="Y73" s="62">
        <f t="shared" si="46"/>
        <v>0</v>
      </c>
      <c r="Z73" s="64" t="str">
        <f t="shared" si="47"/>
        <v>#DIV/0!</v>
      </c>
      <c r="AA73" s="175"/>
      <c r="AB73" s="175"/>
      <c r="AC73" s="175"/>
      <c r="AD73" s="175"/>
      <c r="AE73" s="175"/>
      <c r="AF73" s="86" t="str">
        <f t="shared" si="41"/>
        <v>#REF!</v>
      </c>
      <c r="AG73" s="68" t="str">
        <f t="shared" si="42"/>
        <v>#NUM!</v>
      </c>
      <c r="AH73" s="175"/>
      <c r="AI73" s="68">
        <f t="shared" si="43"/>
        <v>0</v>
      </c>
      <c r="AJ73" s="68" t="str">
        <f t="shared" si="44"/>
        <v>#NUM!</v>
      </c>
      <c r="AK73" s="68" t="str">
        <f t="shared" si="45"/>
        <v>#NUM!</v>
      </c>
      <c r="AL73" s="176" t="s">
        <v>313</v>
      </c>
      <c r="AM73" s="177" t="s">
        <v>129</v>
      </c>
      <c r="AN73" s="58"/>
      <c r="AO73" s="58" t="s">
        <v>129</v>
      </c>
      <c r="AP73" s="102" t="s">
        <v>156</v>
      </c>
      <c r="AQ73" s="170"/>
      <c r="AR73" s="89" t="s">
        <v>121</v>
      </c>
      <c r="AS73" s="170"/>
      <c r="AT73" s="170"/>
      <c r="AU73" s="170"/>
      <c r="AV73" s="170"/>
      <c r="AW73" s="170"/>
      <c r="AX73" s="170"/>
      <c r="AY73" s="170"/>
      <c r="AZ73" s="170"/>
      <c r="BA73" s="170"/>
      <c r="BB73" s="178">
        <v>44817.0</v>
      </c>
      <c r="BC73" s="178">
        <v>44817.0</v>
      </c>
      <c r="BD73" s="178">
        <v>44817.0</v>
      </c>
      <c r="BE73" s="178">
        <v>44817.0</v>
      </c>
      <c r="BF73" s="178">
        <v>44817.0</v>
      </c>
      <c r="BG73" s="170" t="s">
        <v>314</v>
      </c>
      <c r="BH73" s="170" t="s">
        <v>315</v>
      </c>
      <c r="BI73" s="170" t="s">
        <v>129</v>
      </c>
    </row>
    <row r="74" ht="15.75" customHeight="1">
      <c r="A74" s="168" t="s">
        <v>306</v>
      </c>
      <c r="B74" s="168" t="s">
        <v>307</v>
      </c>
      <c r="C74" s="169" t="s">
        <v>340</v>
      </c>
      <c r="D74" s="170" t="s">
        <v>65</v>
      </c>
      <c r="E74" s="170" t="s">
        <v>309</v>
      </c>
      <c r="F74" s="171" t="s">
        <v>310</v>
      </c>
      <c r="G74" s="170"/>
      <c r="H74" s="170" t="s">
        <v>311</v>
      </c>
      <c r="I74" s="170"/>
      <c r="J74" s="170" t="s">
        <v>312</v>
      </c>
      <c r="K74" s="170" t="s">
        <v>69</v>
      </c>
      <c r="L74" s="172"/>
      <c r="M74" s="173">
        <v>6.0</v>
      </c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5"/>
      <c r="Y74" s="62">
        <f t="shared" si="46"/>
        <v>0</v>
      </c>
      <c r="Z74" s="64" t="str">
        <f t="shared" si="47"/>
        <v>#DIV/0!</v>
      </c>
      <c r="AA74" s="175"/>
      <c r="AB74" s="175"/>
      <c r="AC74" s="175"/>
      <c r="AD74" s="175"/>
      <c r="AE74" s="175"/>
      <c r="AF74" s="86" t="str">
        <f t="shared" si="41"/>
        <v>#REF!</v>
      </c>
      <c r="AG74" s="68" t="str">
        <f t="shared" si="42"/>
        <v>#NUM!</v>
      </c>
      <c r="AH74" s="175"/>
      <c r="AI74" s="68">
        <f t="shared" si="43"/>
        <v>0</v>
      </c>
      <c r="AJ74" s="68" t="str">
        <f t="shared" si="44"/>
        <v>#NUM!</v>
      </c>
      <c r="AK74" s="68" t="str">
        <f t="shared" si="45"/>
        <v>#NUM!</v>
      </c>
      <c r="AL74" s="176" t="s">
        <v>313</v>
      </c>
      <c r="AM74" s="177" t="s">
        <v>129</v>
      </c>
      <c r="AN74" s="58"/>
      <c r="AO74" s="58" t="s">
        <v>129</v>
      </c>
      <c r="AP74" s="102" t="s">
        <v>156</v>
      </c>
      <c r="AQ74" s="170"/>
      <c r="AR74" s="89" t="s">
        <v>121</v>
      </c>
      <c r="AS74" s="170"/>
      <c r="AT74" s="170"/>
      <c r="AU74" s="170"/>
      <c r="AV74" s="170"/>
      <c r="AW74" s="170"/>
      <c r="AX74" s="170"/>
      <c r="AY74" s="170"/>
      <c r="AZ74" s="170"/>
      <c r="BA74" s="170"/>
      <c r="BB74" s="178">
        <v>44817.0</v>
      </c>
      <c r="BC74" s="178">
        <v>44817.0</v>
      </c>
      <c r="BD74" s="178">
        <v>44817.0</v>
      </c>
      <c r="BE74" s="178">
        <v>44817.0</v>
      </c>
      <c r="BF74" s="178">
        <v>44817.0</v>
      </c>
      <c r="BG74" s="170" t="s">
        <v>314</v>
      </c>
      <c r="BH74" s="170" t="s">
        <v>315</v>
      </c>
      <c r="BI74" s="170" t="s">
        <v>129</v>
      </c>
    </row>
    <row r="75" ht="15.75" customHeight="1">
      <c r="A75" s="168" t="s">
        <v>306</v>
      </c>
      <c r="B75" s="168" t="s">
        <v>307</v>
      </c>
      <c r="C75" s="169" t="s">
        <v>341</v>
      </c>
      <c r="D75" s="170" t="s">
        <v>65</v>
      </c>
      <c r="E75" s="170" t="s">
        <v>309</v>
      </c>
      <c r="F75" s="171" t="s">
        <v>310</v>
      </c>
      <c r="G75" s="170"/>
      <c r="H75" s="170" t="s">
        <v>311</v>
      </c>
      <c r="I75" s="170"/>
      <c r="J75" s="170" t="s">
        <v>312</v>
      </c>
      <c r="K75" s="170" t="s">
        <v>69</v>
      </c>
      <c r="L75" s="172"/>
      <c r="M75" s="173">
        <v>3.0</v>
      </c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5"/>
      <c r="Y75" s="62">
        <f t="shared" si="46"/>
        <v>0</v>
      </c>
      <c r="Z75" s="64" t="str">
        <f t="shared" si="47"/>
        <v>#DIV/0!</v>
      </c>
      <c r="AA75" s="175"/>
      <c r="AB75" s="175"/>
      <c r="AC75" s="175"/>
      <c r="AD75" s="175"/>
      <c r="AE75" s="175"/>
      <c r="AF75" s="86" t="str">
        <f t="shared" si="41"/>
        <v>#REF!</v>
      </c>
      <c r="AG75" s="68" t="str">
        <f t="shared" si="42"/>
        <v>#NUM!</v>
      </c>
      <c r="AH75" s="175"/>
      <c r="AI75" s="68">
        <f t="shared" si="43"/>
        <v>0</v>
      </c>
      <c r="AJ75" s="68" t="str">
        <f t="shared" si="44"/>
        <v>#NUM!</v>
      </c>
      <c r="AK75" s="68" t="str">
        <f t="shared" si="45"/>
        <v>#NUM!</v>
      </c>
      <c r="AL75" s="176" t="s">
        <v>313</v>
      </c>
      <c r="AM75" s="177" t="s">
        <v>129</v>
      </c>
      <c r="AN75" s="58"/>
      <c r="AO75" s="58" t="s">
        <v>129</v>
      </c>
      <c r="AP75" s="102" t="s">
        <v>156</v>
      </c>
      <c r="AQ75" s="170"/>
      <c r="AR75" s="89" t="s">
        <v>121</v>
      </c>
      <c r="AS75" s="170"/>
      <c r="AT75" s="170"/>
      <c r="AU75" s="170"/>
      <c r="AV75" s="170"/>
      <c r="AW75" s="170"/>
      <c r="AX75" s="170"/>
      <c r="AY75" s="170"/>
      <c r="AZ75" s="170"/>
      <c r="BA75" s="170"/>
      <c r="BB75" s="178">
        <v>44817.0</v>
      </c>
      <c r="BC75" s="178">
        <v>44817.0</v>
      </c>
      <c r="BD75" s="178">
        <v>44817.0</v>
      </c>
      <c r="BE75" s="178">
        <v>44817.0</v>
      </c>
      <c r="BF75" s="178">
        <v>44817.0</v>
      </c>
      <c r="BG75" s="170" t="s">
        <v>314</v>
      </c>
      <c r="BH75" s="170" t="s">
        <v>315</v>
      </c>
      <c r="BI75" s="170" t="s">
        <v>129</v>
      </c>
    </row>
    <row r="76" ht="15.75" customHeight="1">
      <c r="A76" s="168" t="s">
        <v>306</v>
      </c>
      <c r="B76" s="168" t="s">
        <v>307</v>
      </c>
      <c r="C76" s="169" t="s">
        <v>342</v>
      </c>
      <c r="D76" s="170" t="s">
        <v>65</v>
      </c>
      <c r="E76" s="170" t="s">
        <v>309</v>
      </c>
      <c r="F76" s="171" t="s">
        <v>310</v>
      </c>
      <c r="G76" s="170"/>
      <c r="H76" s="170" t="s">
        <v>311</v>
      </c>
      <c r="I76" s="170"/>
      <c r="J76" s="170" t="s">
        <v>312</v>
      </c>
      <c r="K76" s="170" t="s">
        <v>69</v>
      </c>
      <c r="L76" s="172"/>
      <c r="M76" s="173">
        <v>4.0</v>
      </c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5"/>
      <c r="Y76" s="62">
        <f t="shared" si="46"/>
        <v>0</v>
      </c>
      <c r="Z76" s="64" t="str">
        <f t="shared" si="47"/>
        <v>#DIV/0!</v>
      </c>
      <c r="AA76" s="175"/>
      <c r="AB76" s="175"/>
      <c r="AC76" s="175"/>
      <c r="AD76" s="175"/>
      <c r="AE76" s="175"/>
      <c r="AF76" s="86" t="str">
        <f t="shared" si="41"/>
        <v>#REF!</v>
      </c>
      <c r="AG76" s="68" t="str">
        <f t="shared" si="42"/>
        <v>#NUM!</v>
      </c>
      <c r="AH76" s="175"/>
      <c r="AI76" s="68">
        <f t="shared" si="43"/>
        <v>0</v>
      </c>
      <c r="AJ76" s="68" t="str">
        <f t="shared" si="44"/>
        <v>#NUM!</v>
      </c>
      <c r="AK76" s="68" t="str">
        <f t="shared" si="45"/>
        <v>#NUM!</v>
      </c>
      <c r="AL76" s="176" t="s">
        <v>313</v>
      </c>
      <c r="AM76" s="177" t="s">
        <v>129</v>
      </c>
      <c r="AN76" s="58"/>
      <c r="AO76" s="58" t="s">
        <v>129</v>
      </c>
      <c r="AP76" s="102" t="s">
        <v>156</v>
      </c>
      <c r="AQ76" s="170"/>
      <c r="AR76" s="89" t="s">
        <v>121</v>
      </c>
      <c r="AS76" s="170"/>
      <c r="AT76" s="170"/>
      <c r="AU76" s="170"/>
      <c r="AV76" s="170"/>
      <c r="AW76" s="170"/>
      <c r="AX76" s="170"/>
      <c r="AY76" s="170"/>
      <c r="AZ76" s="170"/>
      <c r="BA76" s="170"/>
      <c r="BB76" s="178">
        <v>44817.0</v>
      </c>
      <c r="BC76" s="178">
        <v>44817.0</v>
      </c>
      <c r="BD76" s="178">
        <v>44817.0</v>
      </c>
      <c r="BE76" s="178">
        <v>44817.0</v>
      </c>
      <c r="BF76" s="178">
        <v>44817.0</v>
      </c>
      <c r="BG76" s="170" t="s">
        <v>314</v>
      </c>
      <c r="BH76" s="170" t="s">
        <v>315</v>
      </c>
      <c r="BI76" s="170" t="s">
        <v>129</v>
      </c>
    </row>
    <row r="77" ht="15.75" customHeight="1">
      <c r="A77" s="168" t="s">
        <v>306</v>
      </c>
      <c r="B77" s="174" t="s">
        <v>307</v>
      </c>
      <c r="C77" s="169" t="s">
        <v>343</v>
      </c>
      <c r="D77" s="170" t="s">
        <v>65</v>
      </c>
      <c r="E77" s="170" t="s">
        <v>309</v>
      </c>
      <c r="F77" s="171" t="s">
        <v>310</v>
      </c>
      <c r="G77" s="170"/>
      <c r="H77" s="170" t="s">
        <v>311</v>
      </c>
      <c r="I77" s="170"/>
      <c r="J77" s="170" t="s">
        <v>312</v>
      </c>
      <c r="K77" s="170" t="s">
        <v>69</v>
      </c>
      <c r="L77" s="172"/>
      <c r="M77" s="173">
        <v>2.0</v>
      </c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5"/>
      <c r="Y77" s="62">
        <f t="shared" si="46"/>
        <v>0</v>
      </c>
      <c r="Z77" s="64" t="str">
        <f t="shared" si="47"/>
        <v>#DIV/0!</v>
      </c>
      <c r="AA77" s="175"/>
      <c r="AB77" s="175"/>
      <c r="AC77" s="175"/>
      <c r="AD77" s="175"/>
      <c r="AE77" s="175"/>
      <c r="AF77" s="86" t="str">
        <f t="shared" si="41"/>
        <v>#REF!</v>
      </c>
      <c r="AG77" s="68" t="str">
        <f t="shared" si="42"/>
        <v>#NUM!</v>
      </c>
      <c r="AH77" s="175"/>
      <c r="AI77" s="68">
        <f t="shared" si="43"/>
        <v>0</v>
      </c>
      <c r="AJ77" s="68" t="str">
        <f t="shared" si="44"/>
        <v>#NUM!</v>
      </c>
      <c r="AK77" s="68" t="str">
        <f t="shared" si="45"/>
        <v>#NUM!</v>
      </c>
      <c r="AL77" s="176" t="s">
        <v>313</v>
      </c>
      <c r="AM77" s="177" t="s">
        <v>129</v>
      </c>
      <c r="AN77" s="58"/>
      <c r="AO77" s="58" t="s">
        <v>129</v>
      </c>
      <c r="AP77" s="102" t="s">
        <v>156</v>
      </c>
      <c r="AQ77" s="170"/>
      <c r="AR77" s="89" t="s">
        <v>102</v>
      </c>
      <c r="AS77" s="170"/>
      <c r="AT77" s="170"/>
      <c r="AU77" s="170"/>
      <c r="AV77" s="170"/>
      <c r="AW77" s="170"/>
      <c r="AX77" s="170"/>
      <c r="AY77" s="170"/>
      <c r="AZ77" s="170"/>
      <c r="BA77" s="170"/>
      <c r="BB77" s="178">
        <v>44817.0</v>
      </c>
      <c r="BC77" s="178">
        <v>44817.0</v>
      </c>
      <c r="BD77" s="178">
        <v>44817.0</v>
      </c>
      <c r="BE77" s="178">
        <v>44817.0</v>
      </c>
      <c r="BF77" s="178">
        <v>44817.0</v>
      </c>
      <c r="BG77" s="170" t="s">
        <v>314</v>
      </c>
      <c r="BH77" s="170" t="s">
        <v>315</v>
      </c>
      <c r="BI77" s="170" t="s">
        <v>129</v>
      </c>
    </row>
    <row r="78" ht="15.75" customHeight="1">
      <c r="A78" s="168" t="s">
        <v>306</v>
      </c>
      <c r="B78" s="179" t="s">
        <v>63</v>
      </c>
      <c r="C78" s="180" t="s">
        <v>344</v>
      </c>
      <c r="D78" s="170" t="s">
        <v>65</v>
      </c>
      <c r="E78" s="170" t="s">
        <v>345</v>
      </c>
      <c r="F78" s="177" t="s">
        <v>346</v>
      </c>
      <c r="G78" s="170"/>
      <c r="H78" s="170" t="s">
        <v>347</v>
      </c>
      <c r="I78" s="170"/>
      <c r="J78" s="170" t="s">
        <v>348</v>
      </c>
      <c r="K78" s="170" t="s">
        <v>69</v>
      </c>
      <c r="L78" s="172"/>
      <c r="M78" s="173">
        <v>24.0</v>
      </c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5"/>
      <c r="Y78" s="62">
        <f t="shared" si="46"/>
        <v>0</v>
      </c>
      <c r="Z78" s="64" t="str">
        <f t="shared" si="47"/>
        <v>#DIV/0!</v>
      </c>
      <c r="AA78" s="174"/>
      <c r="AB78" s="174"/>
      <c r="AC78" s="174"/>
      <c r="AD78" s="174"/>
      <c r="AE78" s="174"/>
      <c r="AF78" s="86" t="str">
        <f t="shared" si="41"/>
        <v>#REF!</v>
      </c>
      <c r="AG78" s="68" t="str">
        <f t="shared" si="42"/>
        <v>#NUM!</v>
      </c>
      <c r="AH78" s="174"/>
      <c r="AI78" s="68">
        <f t="shared" si="43"/>
        <v>0</v>
      </c>
      <c r="AJ78" s="68" t="str">
        <f t="shared" si="44"/>
        <v>#NUM!</v>
      </c>
      <c r="AK78" s="68" t="str">
        <f t="shared" si="45"/>
        <v>#NUM!</v>
      </c>
      <c r="AL78" s="181" t="s">
        <v>349</v>
      </c>
      <c r="AM78" s="177">
        <v>2019.0</v>
      </c>
      <c r="AN78" s="58"/>
      <c r="AO78" s="58">
        <f t="shared" ref="AO78:AO81" si="48">AM78+6</f>
        <v>2025</v>
      </c>
      <c r="AP78" s="89" t="s">
        <v>88</v>
      </c>
      <c r="AQ78" s="182" t="s">
        <v>63</v>
      </c>
      <c r="AR78" s="89" t="s">
        <v>102</v>
      </c>
      <c r="AS78" s="170"/>
      <c r="AT78" s="170"/>
      <c r="AU78" s="170"/>
      <c r="AV78" s="170"/>
      <c r="AW78" s="170"/>
      <c r="AX78" s="170"/>
      <c r="AY78" s="170"/>
      <c r="AZ78" s="170"/>
      <c r="BA78" s="170"/>
      <c r="BB78" s="178">
        <v>44817.0</v>
      </c>
      <c r="BC78" s="178">
        <v>44817.0</v>
      </c>
      <c r="BD78" s="178">
        <v>44817.0</v>
      </c>
      <c r="BE78" s="178">
        <v>44817.0</v>
      </c>
      <c r="BF78" s="178">
        <v>44817.0</v>
      </c>
      <c r="BG78" s="170" t="s">
        <v>350</v>
      </c>
      <c r="BH78" s="170" t="s">
        <v>315</v>
      </c>
      <c r="BI78" s="170" t="s">
        <v>129</v>
      </c>
    </row>
    <row r="79" ht="15.75" customHeight="1">
      <c r="A79" s="168" t="s">
        <v>306</v>
      </c>
      <c r="B79" s="179" t="s">
        <v>63</v>
      </c>
      <c r="C79" s="180" t="s">
        <v>351</v>
      </c>
      <c r="D79" s="170" t="s">
        <v>65</v>
      </c>
      <c r="E79" s="170" t="s">
        <v>352</v>
      </c>
      <c r="F79" s="177" t="s">
        <v>353</v>
      </c>
      <c r="G79" s="170"/>
      <c r="H79" s="170" t="s">
        <v>347</v>
      </c>
      <c r="I79" s="170"/>
      <c r="J79" s="170" t="s">
        <v>348</v>
      </c>
      <c r="K79" s="170" t="s">
        <v>69</v>
      </c>
      <c r="L79" s="172"/>
      <c r="M79" s="173">
        <v>12.0</v>
      </c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5"/>
      <c r="Y79" s="62">
        <f t="shared" si="46"/>
        <v>0</v>
      </c>
      <c r="Z79" s="64" t="str">
        <f t="shared" si="47"/>
        <v>#DIV/0!</v>
      </c>
      <c r="AA79" s="174"/>
      <c r="AB79" s="174"/>
      <c r="AC79" s="174"/>
      <c r="AD79" s="174"/>
      <c r="AE79" s="174"/>
      <c r="AF79" s="86" t="str">
        <f t="shared" si="41"/>
        <v>#REF!</v>
      </c>
      <c r="AG79" s="68" t="str">
        <f t="shared" si="42"/>
        <v>#NUM!</v>
      </c>
      <c r="AH79" s="174"/>
      <c r="AI79" s="68">
        <f t="shared" si="43"/>
        <v>0</v>
      </c>
      <c r="AJ79" s="68" t="str">
        <f t="shared" si="44"/>
        <v>#NUM!</v>
      </c>
      <c r="AK79" s="68" t="str">
        <f t="shared" si="45"/>
        <v>#NUM!</v>
      </c>
      <c r="AL79" s="181" t="s">
        <v>354</v>
      </c>
      <c r="AM79" s="177">
        <v>2019.0</v>
      </c>
      <c r="AN79" s="58"/>
      <c r="AO79" s="58">
        <f t="shared" si="48"/>
        <v>2025</v>
      </c>
      <c r="AP79" s="89" t="s">
        <v>88</v>
      </c>
      <c r="AQ79" s="182" t="s">
        <v>63</v>
      </c>
      <c r="AR79" s="89" t="s">
        <v>121</v>
      </c>
      <c r="AS79" s="170"/>
      <c r="AT79" s="170"/>
      <c r="AU79" s="170"/>
      <c r="AV79" s="170"/>
      <c r="AW79" s="170"/>
      <c r="AX79" s="170"/>
      <c r="AY79" s="170"/>
      <c r="AZ79" s="170"/>
      <c r="BA79" s="170"/>
      <c r="BB79" s="178">
        <v>44817.0</v>
      </c>
      <c r="BC79" s="178">
        <v>44817.0</v>
      </c>
      <c r="BD79" s="178">
        <v>44817.0</v>
      </c>
      <c r="BE79" s="178">
        <v>44817.0</v>
      </c>
      <c r="BF79" s="178">
        <v>44817.0</v>
      </c>
      <c r="BG79" s="170" t="s">
        <v>350</v>
      </c>
      <c r="BH79" s="170" t="s">
        <v>315</v>
      </c>
      <c r="BI79" s="170" t="s">
        <v>129</v>
      </c>
    </row>
    <row r="80" ht="15.75" customHeight="1">
      <c r="A80" s="168" t="s">
        <v>306</v>
      </c>
      <c r="B80" s="179" t="s">
        <v>63</v>
      </c>
      <c r="C80" s="180" t="s">
        <v>355</v>
      </c>
      <c r="D80" s="170" t="s">
        <v>65</v>
      </c>
      <c r="E80" s="170" t="s">
        <v>356</v>
      </c>
      <c r="F80" s="177" t="s">
        <v>357</v>
      </c>
      <c r="G80" s="170"/>
      <c r="H80" s="170" t="s">
        <v>358</v>
      </c>
      <c r="I80" s="170"/>
      <c r="J80" s="170" t="s">
        <v>68</v>
      </c>
      <c r="K80" s="170" t="s">
        <v>69</v>
      </c>
      <c r="L80" s="172"/>
      <c r="M80" s="173">
        <v>50.0</v>
      </c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5"/>
      <c r="Y80" s="62">
        <f t="shared" si="46"/>
        <v>0</v>
      </c>
      <c r="Z80" s="64" t="str">
        <f t="shared" si="47"/>
        <v>#DIV/0!</v>
      </c>
      <c r="AA80" s="174"/>
      <c r="AB80" s="174"/>
      <c r="AC80" s="174"/>
      <c r="AD80" s="174"/>
      <c r="AE80" s="174"/>
      <c r="AF80" s="86" t="str">
        <f t="shared" si="41"/>
        <v>#REF!</v>
      </c>
      <c r="AG80" s="68" t="str">
        <f t="shared" si="42"/>
        <v>#NUM!</v>
      </c>
      <c r="AH80" s="174"/>
      <c r="AI80" s="68">
        <f t="shared" si="43"/>
        <v>0</v>
      </c>
      <c r="AJ80" s="68" t="str">
        <f t="shared" si="44"/>
        <v>#NUM!</v>
      </c>
      <c r="AK80" s="68" t="str">
        <f t="shared" si="45"/>
        <v>#NUM!</v>
      </c>
      <c r="AL80" s="170" t="s">
        <v>359</v>
      </c>
      <c r="AM80" s="177">
        <v>2018.0</v>
      </c>
      <c r="AN80" s="58"/>
      <c r="AO80" s="58">
        <f t="shared" si="48"/>
        <v>2024</v>
      </c>
      <c r="AP80" s="102" t="s">
        <v>156</v>
      </c>
      <c r="AQ80" s="170"/>
      <c r="AR80" s="89" t="s">
        <v>102</v>
      </c>
      <c r="AS80" s="170"/>
      <c r="AT80" s="170"/>
      <c r="AU80" s="170"/>
      <c r="AV80" s="170"/>
      <c r="AW80" s="170"/>
      <c r="AX80" s="170"/>
      <c r="AY80" s="170"/>
      <c r="AZ80" s="170"/>
      <c r="BA80" s="170"/>
      <c r="BB80" s="178">
        <v>44817.0</v>
      </c>
      <c r="BC80" s="178">
        <v>44817.0</v>
      </c>
      <c r="BD80" s="178">
        <v>44817.0</v>
      </c>
      <c r="BE80" s="178">
        <v>44817.0</v>
      </c>
      <c r="BF80" s="178">
        <v>44817.0</v>
      </c>
      <c r="BG80" s="183"/>
      <c r="BH80" s="170"/>
      <c r="BI80" s="170" t="s">
        <v>129</v>
      </c>
    </row>
    <row r="81" ht="15.75" customHeight="1">
      <c r="A81" s="168" t="s">
        <v>306</v>
      </c>
      <c r="B81" s="179" t="s">
        <v>63</v>
      </c>
      <c r="C81" s="180" t="s">
        <v>360</v>
      </c>
      <c r="D81" s="170" t="s">
        <v>65</v>
      </c>
      <c r="E81" s="170" t="s">
        <v>361</v>
      </c>
      <c r="F81" s="177" t="s">
        <v>362</v>
      </c>
      <c r="G81" s="170" t="s">
        <v>363</v>
      </c>
      <c r="H81" s="170" t="s">
        <v>364</v>
      </c>
      <c r="I81" s="170" t="s">
        <v>365</v>
      </c>
      <c r="J81" s="170" t="s">
        <v>68</v>
      </c>
      <c r="K81" s="170" t="s">
        <v>69</v>
      </c>
      <c r="L81" s="172">
        <v>1.0</v>
      </c>
      <c r="M81" s="173">
        <v>3.0</v>
      </c>
      <c r="N81" s="174">
        <v>2008.0</v>
      </c>
      <c r="O81" s="177" t="s">
        <v>366</v>
      </c>
      <c r="P81" s="179" t="s">
        <v>367</v>
      </c>
      <c r="Q81" s="174" t="s">
        <v>259</v>
      </c>
      <c r="R81" s="174" t="s">
        <v>368</v>
      </c>
      <c r="S81" s="174">
        <v>5.0</v>
      </c>
      <c r="T81" s="174">
        <v>2.0</v>
      </c>
      <c r="U81" s="174"/>
      <c r="V81" s="174">
        <v>4.0</v>
      </c>
      <c r="W81" s="174">
        <v>1.0</v>
      </c>
      <c r="X81" s="175">
        <v>2.0</v>
      </c>
      <c r="Y81" s="62">
        <f t="shared" si="46"/>
        <v>7</v>
      </c>
      <c r="Z81" s="64">
        <f t="shared" si="47"/>
        <v>0.7142857143</v>
      </c>
      <c r="AA81" s="184">
        <v>100.0</v>
      </c>
      <c r="AB81" s="174">
        <v>1.0</v>
      </c>
      <c r="AC81" s="184">
        <v>250.0</v>
      </c>
      <c r="AD81" s="174">
        <v>1.0</v>
      </c>
      <c r="AE81" s="184">
        <v>250.0</v>
      </c>
      <c r="AF81" s="86" t="s">
        <v>369</v>
      </c>
      <c r="AG81" s="68">
        <v>6100.0</v>
      </c>
      <c r="AH81" s="174" t="s">
        <v>370</v>
      </c>
      <c r="AI81" s="68">
        <v>1220.0</v>
      </c>
      <c r="AJ81" s="68">
        <f t="shared" si="44"/>
        <v>152.5</v>
      </c>
      <c r="AK81" s="68" t="s">
        <v>371</v>
      </c>
      <c r="AL81" s="181" t="s">
        <v>372</v>
      </c>
      <c r="AM81" s="177">
        <v>2022.0</v>
      </c>
      <c r="AN81" s="59" t="s">
        <v>155</v>
      </c>
      <c r="AO81" s="58">
        <f t="shared" si="48"/>
        <v>2028</v>
      </c>
      <c r="AP81" s="89" t="s">
        <v>156</v>
      </c>
      <c r="AQ81" s="170"/>
      <c r="AR81" s="89" t="s">
        <v>102</v>
      </c>
      <c r="AS81" s="170"/>
      <c r="AT81" s="170"/>
      <c r="AU81" s="170"/>
      <c r="AV81" s="170"/>
      <c r="AW81" s="170"/>
      <c r="AX81" s="170"/>
      <c r="AY81" s="170"/>
      <c r="AZ81" s="170"/>
      <c r="BA81" s="170"/>
      <c r="BB81" s="178">
        <v>44817.0</v>
      </c>
      <c r="BC81" s="178">
        <v>44817.0</v>
      </c>
      <c r="BD81" s="178">
        <v>44817.0</v>
      </c>
      <c r="BE81" s="178">
        <v>44817.0</v>
      </c>
      <c r="BF81" s="178">
        <v>44817.0</v>
      </c>
      <c r="BG81" s="170" t="s">
        <v>373</v>
      </c>
      <c r="BH81" s="170" t="s">
        <v>315</v>
      </c>
      <c r="BI81" s="170" t="s">
        <v>129</v>
      </c>
    </row>
    <row r="82" ht="15.75" customHeight="1">
      <c r="A82" s="168" t="s">
        <v>306</v>
      </c>
      <c r="B82" s="179" t="s">
        <v>63</v>
      </c>
      <c r="C82" s="180" t="s">
        <v>374</v>
      </c>
      <c r="D82" s="170" t="s">
        <v>65</v>
      </c>
      <c r="E82" s="170" t="s">
        <v>361</v>
      </c>
      <c r="F82" s="177" t="s">
        <v>362</v>
      </c>
      <c r="G82" s="170" t="s">
        <v>375</v>
      </c>
      <c r="H82" s="170" t="s">
        <v>376</v>
      </c>
      <c r="I82" s="170" t="s">
        <v>365</v>
      </c>
      <c r="J82" s="170" t="s">
        <v>68</v>
      </c>
      <c r="K82" s="170" t="s">
        <v>69</v>
      </c>
      <c r="L82" s="172">
        <v>1.0</v>
      </c>
      <c r="M82" s="173">
        <v>3.0</v>
      </c>
      <c r="N82" s="174">
        <v>2014.0</v>
      </c>
      <c r="O82" s="177" t="s">
        <v>377</v>
      </c>
      <c r="P82" s="179" t="s">
        <v>367</v>
      </c>
      <c r="Q82" s="174" t="s">
        <v>259</v>
      </c>
      <c r="R82" s="174" t="s">
        <v>218</v>
      </c>
      <c r="S82" s="174">
        <v>5.0</v>
      </c>
      <c r="T82" s="174">
        <v>3.0</v>
      </c>
      <c r="U82" s="174"/>
      <c r="V82" s="174">
        <v>4.0</v>
      </c>
      <c r="W82" s="174">
        <v>2.0</v>
      </c>
      <c r="X82" s="175">
        <v>2.0</v>
      </c>
      <c r="Y82" s="62">
        <f t="shared" si="46"/>
        <v>8</v>
      </c>
      <c r="Z82" s="64">
        <f t="shared" si="47"/>
        <v>0.625</v>
      </c>
      <c r="AA82" s="184">
        <v>100.0</v>
      </c>
      <c r="AB82" s="174">
        <v>1.0</v>
      </c>
      <c r="AC82" s="184">
        <v>250.0</v>
      </c>
      <c r="AD82" s="174">
        <v>1.0</v>
      </c>
      <c r="AE82" s="184">
        <v>250.0</v>
      </c>
      <c r="AF82" s="86" t="s">
        <v>378</v>
      </c>
      <c r="AG82" s="68">
        <v>3100.0</v>
      </c>
      <c r="AH82" s="174" t="s">
        <v>370</v>
      </c>
      <c r="AI82" s="68">
        <f>AG82*0.2</f>
        <v>620</v>
      </c>
      <c r="AJ82" s="68">
        <f t="shared" si="44"/>
        <v>77.5</v>
      </c>
      <c r="AK82" s="68" t="s">
        <v>371</v>
      </c>
      <c r="AL82" s="181" t="s">
        <v>379</v>
      </c>
      <c r="AM82" s="177">
        <v>2014.0</v>
      </c>
      <c r="AN82" s="69" t="s">
        <v>380</v>
      </c>
      <c r="AO82" s="58">
        <v>2022.0</v>
      </c>
      <c r="AP82" s="89" t="s">
        <v>156</v>
      </c>
      <c r="AQ82" s="181"/>
      <c r="AR82" s="89" t="s">
        <v>121</v>
      </c>
      <c r="AS82" s="170"/>
      <c r="AT82" s="170"/>
      <c r="AU82" s="170"/>
      <c r="AV82" s="170"/>
      <c r="AW82" s="170"/>
      <c r="AX82" s="170"/>
      <c r="AY82" s="170"/>
      <c r="AZ82" s="170"/>
      <c r="BA82" s="170"/>
      <c r="BB82" s="178">
        <v>44817.0</v>
      </c>
      <c r="BC82" s="178">
        <v>44817.0</v>
      </c>
      <c r="BD82" s="178">
        <v>44817.0</v>
      </c>
      <c r="BE82" s="178">
        <v>44817.0</v>
      </c>
      <c r="BF82" s="178">
        <v>44817.0</v>
      </c>
      <c r="BG82" s="183"/>
      <c r="BH82" s="170"/>
      <c r="BI82" s="170" t="s">
        <v>129</v>
      </c>
    </row>
    <row r="83" ht="15.75" customHeight="1">
      <c r="A83" s="168" t="s">
        <v>306</v>
      </c>
      <c r="B83" s="179" t="s">
        <v>63</v>
      </c>
      <c r="C83" s="185" t="s">
        <v>381</v>
      </c>
      <c r="D83" s="170" t="s">
        <v>65</v>
      </c>
      <c r="E83" s="170" t="s">
        <v>382</v>
      </c>
      <c r="F83" s="170"/>
      <c r="G83" s="170"/>
      <c r="H83" s="170" t="s">
        <v>383</v>
      </c>
      <c r="I83" s="170"/>
      <c r="J83" s="170" t="s">
        <v>68</v>
      </c>
      <c r="K83" s="170" t="s">
        <v>69</v>
      </c>
      <c r="L83" s="172"/>
      <c r="M83" s="173">
        <v>3.0</v>
      </c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5"/>
      <c r="Y83" s="62">
        <f>SUM(S83:W83)</f>
        <v>0</v>
      </c>
      <c r="Z83" s="64" t="str">
        <f t="shared" si="47"/>
        <v>#DIV/0!</v>
      </c>
      <c r="AA83" s="174"/>
      <c r="AB83" s="174"/>
      <c r="AC83" s="174"/>
      <c r="AD83" s="174"/>
      <c r="AE83" s="174"/>
      <c r="AF83" s="86" t="str">
        <f t="shared" ref="AF83:AF85" si="49">DATEDIF(#REF!,#REF!,"M")+1</f>
        <v>#REF!</v>
      </c>
      <c r="AG83" s="68" t="str">
        <f t="shared" ref="AG83:AG85" si="50">LARGE(AS83:BA83,1)*((AA83*AB83)+(AC83*AD83)+(AE83*AF83))</f>
        <v>#NUM!</v>
      </c>
      <c r="AH83" s="174"/>
      <c r="AI83" s="68">
        <f t="shared" ref="AI83:AI85" si="51">AA83*0.2</f>
        <v>0</v>
      </c>
      <c r="AJ83" s="68" t="str">
        <f t="shared" si="44"/>
        <v>#NUM!</v>
      </c>
      <c r="AK83" s="68" t="str">
        <f t="shared" ref="AK83:AK85" si="52">0.03*AG83</f>
        <v>#NUM!</v>
      </c>
      <c r="AL83" s="170" t="s">
        <v>384</v>
      </c>
      <c r="AM83" s="177">
        <v>2014.0</v>
      </c>
      <c r="AN83" s="58"/>
      <c r="AO83" s="58">
        <f>AM83+6</f>
        <v>2020</v>
      </c>
      <c r="AP83" s="102" t="s">
        <v>156</v>
      </c>
      <c r="AQ83" s="170"/>
      <c r="AR83" s="102" t="s">
        <v>121</v>
      </c>
      <c r="AS83" s="170"/>
      <c r="AT83" s="170"/>
      <c r="AU83" s="170"/>
      <c r="AV83" s="170"/>
      <c r="AW83" s="170"/>
      <c r="AX83" s="170"/>
      <c r="AY83" s="170"/>
      <c r="AZ83" s="170"/>
      <c r="BA83" s="170"/>
      <c r="BB83" s="178">
        <v>44817.0</v>
      </c>
      <c r="BC83" s="178">
        <v>44817.0</v>
      </c>
      <c r="BD83" s="178">
        <v>44817.0</v>
      </c>
      <c r="BE83" s="178">
        <v>44817.0</v>
      </c>
      <c r="BF83" s="178">
        <v>44817.0</v>
      </c>
      <c r="BG83" s="170" t="s">
        <v>385</v>
      </c>
      <c r="BH83" s="170"/>
      <c r="BI83" s="170" t="s">
        <v>129</v>
      </c>
    </row>
    <row r="84" ht="15.75" customHeight="1">
      <c r="A84" s="168" t="s">
        <v>306</v>
      </c>
      <c r="B84" s="179"/>
      <c r="C84" s="185" t="s">
        <v>386</v>
      </c>
      <c r="D84" s="170" t="s">
        <v>65</v>
      </c>
      <c r="E84" s="170" t="s">
        <v>387</v>
      </c>
      <c r="F84" s="170"/>
      <c r="G84" s="170"/>
      <c r="H84" s="170"/>
      <c r="I84" s="170"/>
      <c r="J84" s="170" t="s">
        <v>68</v>
      </c>
      <c r="K84" s="170" t="s">
        <v>69</v>
      </c>
      <c r="L84" s="172"/>
      <c r="M84" s="173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5"/>
      <c r="Y84" s="62"/>
      <c r="Z84" s="64" t="str">
        <f t="shared" si="47"/>
        <v>#DIV/0!</v>
      </c>
      <c r="AA84" s="174"/>
      <c r="AB84" s="174"/>
      <c r="AC84" s="174"/>
      <c r="AD84" s="174"/>
      <c r="AE84" s="174"/>
      <c r="AF84" s="86" t="str">
        <f t="shared" si="49"/>
        <v>#REF!</v>
      </c>
      <c r="AG84" s="68" t="str">
        <f t="shared" si="50"/>
        <v>#NUM!</v>
      </c>
      <c r="AH84" s="174"/>
      <c r="AI84" s="68">
        <f t="shared" si="51"/>
        <v>0</v>
      </c>
      <c r="AJ84" s="68" t="str">
        <f t="shared" si="44"/>
        <v>#NUM!</v>
      </c>
      <c r="AK84" s="68" t="str">
        <f t="shared" si="52"/>
        <v>#NUM!</v>
      </c>
      <c r="AL84" s="170"/>
      <c r="AM84" s="177"/>
      <c r="AN84" s="58"/>
      <c r="AO84" s="58"/>
      <c r="AP84" s="89"/>
      <c r="AQ84" s="170"/>
      <c r="AR84" s="102" t="s">
        <v>121</v>
      </c>
      <c r="AS84" s="170"/>
      <c r="AT84" s="170"/>
      <c r="AU84" s="170"/>
      <c r="AV84" s="170"/>
      <c r="AW84" s="170"/>
      <c r="AX84" s="170"/>
      <c r="AY84" s="170"/>
      <c r="AZ84" s="170"/>
      <c r="BA84" s="170"/>
      <c r="BB84" s="178">
        <v>44817.0</v>
      </c>
      <c r="BC84" s="178">
        <v>44817.0</v>
      </c>
      <c r="BD84" s="178">
        <v>44817.0</v>
      </c>
      <c r="BE84" s="178">
        <v>44817.0</v>
      </c>
      <c r="BF84" s="178">
        <v>44817.0</v>
      </c>
      <c r="BG84" s="183"/>
      <c r="BH84" s="170"/>
      <c r="BI84" s="170"/>
    </row>
    <row r="85" ht="15.75" customHeight="1">
      <c r="A85" s="168" t="s">
        <v>306</v>
      </c>
      <c r="B85" s="179" t="s">
        <v>63</v>
      </c>
      <c r="C85" s="180" t="s">
        <v>388</v>
      </c>
      <c r="D85" s="170" t="s">
        <v>65</v>
      </c>
      <c r="E85" s="170" t="s">
        <v>387</v>
      </c>
      <c r="F85" s="170"/>
      <c r="G85" s="170"/>
      <c r="H85" s="170" t="s">
        <v>389</v>
      </c>
      <c r="I85" s="170"/>
      <c r="J85" s="170" t="s">
        <v>68</v>
      </c>
      <c r="K85" s="170" t="s">
        <v>69</v>
      </c>
      <c r="L85" s="172"/>
      <c r="M85" s="173">
        <v>4.0</v>
      </c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5"/>
      <c r="Y85" s="62">
        <f>SUM(S85:W85)</f>
        <v>0</v>
      </c>
      <c r="Z85" s="64" t="str">
        <f t="shared" si="47"/>
        <v>#DIV/0!</v>
      </c>
      <c r="AA85" s="174"/>
      <c r="AB85" s="174"/>
      <c r="AC85" s="174"/>
      <c r="AD85" s="174"/>
      <c r="AE85" s="174"/>
      <c r="AF85" s="86" t="str">
        <f t="shared" si="49"/>
        <v>#REF!</v>
      </c>
      <c r="AG85" s="68" t="str">
        <f t="shared" si="50"/>
        <v>#NUM!</v>
      </c>
      <c r="AH85" s="174"/>
      <c r="AI85" s="68">
        <f t="shared" si="51"/>
        <v>0</v>
      </c>
      <c r="AJ85" s="68" t="str">
        <f t="shared" si="44"/>
        <v>#NUM!</v>
      </c>
      <c r="AK85" s="68" t="str">
        <f t="shared" si="52"/>
        <v>#NUM!</v>
      </c>
      <c r="AL85" s="170" t="s">
        <v>390</v>
      </c>
      <c r="AM85" s="177">
        <v>2019.0</v>
      </c>
      <c r="AN85" s="58"/>
      <c r="AO85" s="58">
        <f>AM85+6</f>
        <v>2025</v>
      </c>
      <c r="AP85" s="89" t="s">
        <v>88</v>
      </c>
      <c r="AQ85" s="170"/>
      <c r="AR85" s="102" t="s">
        <v>121</v>
      </c>
      <c r="AS85" s="170"/>
      <c r="AT85" s="170"/>
      <c r="AU85" s="170"/>
      <c r="AV85" s="170"/>
      <c r="AW85" s="170"/>
      <c r="AX85" s="170"/>
      <c r="AY85" s="170"/>
      <c r="AZ85" s="170"/>
      <c r="BA85" s="170"/>
      <c r="BB85" s="178">
        <v>44817.0</v>
      </c>
      <c r="BC85" s="178">
        <v>44817.0</v>
      </c>
      <c r="BD85" s="178">
        <v>44817.0</v>
      </c>
      <c r="BE85" s="178">
        <v>44817.0</v>
      </c>
      <c r="BF85" s="178">
        <v>44817.0</v>
      </c>
      <c r="BG85" s="183"/>
      <c r="BH85" s="170"/>
      <c r="BI85" s="170" t="s">
        <v>129</v>
      </c>
    </row>
    <row r="86" ht="15.75" customHeight="1">
      <c r="A86" s="168" t="s">
        <v>306</v>
      </c>
      <c r="B86" s="179" t="s">
        <v>63</v>
      </c>
      <c r="C86" s="180" t="s">
        <v>391</v>
      </c>
      <c r="D86" s="170" t="s">
        <v>65</v>
      </c>
      <c r="E86" s="170" t="s">
        <v>392</v>
      </c>
      <c r="F86" s="177" t="s">
        <v>393</v>
      </c>
      <c r="G86" s="170" t="s">
        <v>394</v>
      </c>
      <c r="H86" s="170" t="s">
        <v>358</v>
      </c>
      <c r="I86" s="170" t="s">
        <v>67</v>
      </c>
      <c r="J86" s="170" t="s">
        <v>68</v>
      </c>
      <c r="K86" s="170" t="s">
        <v>69</v>
      </c>
      <c r="L86" s="172">
        <v>1.0</v>
      </c>
      <c r="M86" s="171">
        <v>4.0</v>
      </c>
      <c r="N86" s="174">
        <v>2022.0</v>
      </c>
      <c r="O86" s="177" t="s">
        <v>395</v>
      </c>
      <c r="P86" s="179" t="s">
        <v>396</v>
      </c>
      <c r="Q86" s="174" t="s">
        <v>85</v>
      </c>
      <c r="R86" s="174" t="s">
        <v>397</v>
      </c>
      <c r="S86" s="174">
        <v>5.0</v>
      </c>
      <c r="T86" s="174">
        <v>1.0</v>
      </c>
      <c r="U86" s="174"/>
      <c r="V86" s="174">
        <v>4.0</v>
      </c>
      <c r="W86" s="174">
        <v>2.0</v>
      </c>
      <c r="X86" s="175">
        <v>0.0</v>
      </c>
      <c r="Y86" s="62">
        <f t="shared" ref="Y86:Y88" si="53">SUM(S86:T86)</f>
        <v>6</v>
      </c>
      <c r="Z86" s="64">
        <f t="shared" si="47"/>
        <v>0.8333333333</v>
      </c>
      <c r="AA86" s="174" t="s">
        <v>370</v>
      </c>
      <c r="AB86" s="174" t="s">
        <v>370</v>
      </c>
      <c r="AC86" s="174" t="s">
        <v>370</v>
      </c>
      <c r="AD86" s="174" t="s">
        <v>370</v>
      </c>
      <c r="AE86" s="174" t="s">
        <v>370</v>
      </c>
      <c r="AF86" s="86" t="s">
        <v>370</v>
      </c>
      <c r="AG86" s="68" t="s">
        <v>370</v>
      </c>
      <c r="AH86" s="174" t="s">
        <v>370</v>
      </c>
      <c r="AI86" s="68" t="s">
        <v>370</v>
      </c>
      <c r="AJ86" s="68" t="s">
        <v>370</v>
      </c>
      <c r="AK86" s="68" t="s">
        <v>371</v>
      </c>
      <c r="AL86" s="181" t="s">
        <v>398</v>
      </c>
      <c r="AM86" s="177">
        <v>2022.0</v>
      </c>
      <c r="AN86" s="59" t="s">
        <v>155</v>
      </c>
      <c r="AO86" s="58">
        <v>2028.0</v>
      </c>
      <c r="AP86" s="89" t="s">
        <v>156</v>
      </c>
      <c r="AQ86" s="170"/>
      <c r="AR86" s="102" t="s">
        <v>102</v>
      </c>
      <c r="AS86" s="170"/>
      <c r="AT86" s="170"/>
      <c r="AU86" s="170"/>
      <c r="AV86" s="170"/>
      <c r="AW86" s="170"/>
      <c r="AX86" s="170"/>
      <c r="AY86" s="170"/>
      <c r="AZ86" s="170"/>
      <c r="BA86" s="170"/>
      <c r="BB86" s="178"/>
      <c r="BC86" s="178"/>
      <c r="BD86" s="178"/>
      <c r="BE86" s="178"/>
      <c r="BF86" s="178"/>
      <c r="BG86" s="183"/>
      <c r="BH86" s="170"/>
      <c r="BI86" s="170"/>
    </row>
    <row r="87" ht="15.75" customHeight="1">
      <c r="A87" s="168" t="s">
        <v>306</v>
      </c>
      <c r="B87" s="179" t="s">
        <v>63</v>
      </c>
      <c r="C87" s="180" t="s">
        <v>399</v>
      </c>
      <c r="D87" s="170" t="s">
        <v>65</v>
      </c>
      <c r="E87" s="170" t="s">
        <v>400</v>
      </c>
      <c r="F87" s="177" t="s">
        <v>401</v>
      </c>
      <c r="G87" s="170" t="s">
        <v>402</v>
      </c>
      <c r="H87" s="170" t="s">
        <v>403</v>
      </c>
      <c r="I87" s="170" t="s">
        <v>74</v>
      </c>
      <c r="J87" s="170" t="s">
        <v>68</v>
      </c>
      <c r="K87" s="170" t="s">
        <v>69</v>
      </c>
      <c r="L87" s="172">
        <v>1.0</v>
      </c>
      <c r="M87" s="171">
        <v>2.0</v>
      </c>
      <c r="N87" s="174">
        <v>2022.0</v>
      </c>
      <c r="O87" s="177" t="s">
        <v>404</v>
      </c>
      <c r="P87" s="179" t="s">
        <v>405</v>
      </c>
      <c r="Q87" s="174" t="s">
        <v>85</v>
      </c>
      <c r="R87" s="174" t="s">
        <v>397</v>
      </c>
      <c r="S87" s="174">
        <v>9.0</v>
      </c>
      <c r="T87" s="174">
        <v>0.0</v>
      </c>
      <c r="U87" s="174"/>
      <c r="V87" s="174">
        <v>5.0</v>
      </c>
      <c r="W87" s="174">
        <v>4.0</v>
      </c>
      <c r="X87" s="175">
        <v>0.0</v>
      </c>
      <c r="Y87" s="62">
        <f t="shared" si="53"/>
        <v>9</v>
      </c>
      <c r="Z87" s="64">
        <f t="shared" si="47"/>
        <v>1</v>
      </c>
      <c r="AA87" s="174" t="s">
        <v>370</v>
      </c>
      <c r="AB87" s="174" t="s">
        <v>370</v>
      </c>
      <c r="AC87" s="184">
        <v>400.0</v>
      </c>
      <c r="AD87" s="174">
        <v>1.0</v>
      </c>
      <c r="AE87" s="184">
        <v>400.0</v>
      </c>
      <c r="AF87" s="87">
        <v>9600.0</v>
      </c>
      <c r="AG87" s="68" t="s">
        <v>370</v>
      </c>
      <c r="AH87" s="174" t="s">
        <v>370</v>
      </c>
      <c r="AI87" s="68">
        <v>1920.0</v>
      </c>
      <c r="AJ87" s="68">
        <v>240.0</v>
      </c>
      <c r="AK87" s="68">
        <v>480.0</v>
      </c>
      <c r="AL87" s="181" t="s">
        <v>406</v>
      </c>
      <c r="AM87" s="177">
        <v>2022.0</v>
      </c>
      <c r="AN87" s="59" t="s">
        <v>155</v>
      </c>
      <c r="AO87" s="58">
        <v>2028.0</v>
      </c>
      <c r="AP87" s="89" t="s">
        <v>156</v>
      </c>
      <c r="AQ87" s="170"/>
      <c r="AR87" s="102" t="s">
        <v>102</v>
      </c>
      <c r="AS87" s="170"/>
      <c r="AT87" s="170"/>
      <c r="AU87" s="170"/>
      <c r="AV87" s="170"/>
      <c r="AW87" s="170"/>
      <c r="AX87" s="170"/>
      <c r="AY87" s="170"/>
      <c r="AZ87" s="170"/>
      <c r="BA87" s="170"/>
      <c r="BB87" s="178"/>
      <c r="BC87" s="178"/>
      <c r="BD87" s="178"/>
      <c r="BE87" s="178"/>
      <c r="BF87" s="178"/>
      <c r="BG87" s="183"/>
      <c r="BH87" s="170"/>
      <c r="BI87" s="170"/>
    </row>
    <row r="88" ht="15.75" customHeight="1">
      <c r="A88" s="168" t="s">
        <v>306</v>
      </c>
      <c r="B88" s="179" t="s">
        <v>63</v>
      </c>
      <c r="C88" s="180" t="s">
        <v>407</v>
      </c>
      <c r="D88" s="170" t="s">
        <v>65</v>
      </c>
      <c r="E88" s="170" t="s">
        <v>387</v>
      </c>
      <c r="F88" s="177" t="s">
        <v>408</v>
      </c>
      <c r="G88" s="170"/>
      <c r="H88" s="170" t="s">
        <v>409</v>
      </c>
      <c r="I88" s="170" t="s">
        <v>74</v>
      </c>
      <c r="J88" s="170" t="s">
        <v>68</v>
      </c>
      <c r="K88" s="170" t="s">
        <v>69</v>
      </c>
      <c r="L88" s="172">
        <v>1.0</v>
      </c>
      <c r="M88" s="171">
        <v>4.0</v>
      </c>
      <c r="N88" s="174">
        <v>2022.0</v>
      </c>
      <c r="O88" s="177" t="s">
        <v>410</v>
      </c>
      <c r="P88" s="186" t="s">
        <v>411</v>
      </c>
      <c r="Q88" s="174" t="s">
        <v>85</v>
      </c>
      <c r="R88" s="174" t="s">
        <v>397</v>
      </c>
      <c r="S88" s="174">
        <v>6.0</v>
      </c>
      <c r="T88" s="174">
        <v>0.0</v>
      </c>
      <c r="U88" s="174"/>
      <c r="V88" s="174">
        <v>2.0</v>
      </c>
      <c r="W88" s="174">
        <v>1.0</v>
      </c>
      <c r="X88" s="175">
        <v>3.0</v>
      </c>
      <c r="Y88" s="62">
        <f t="shared" si="53"/>
        <v>6</v>
      </c>
      <c r="Z88" s="64">
        <f t="shared" si="47"/>
        <v>1</v>
      </c>
      <c r="AA88" s="184">
        <v>800.0</v>
      </c>
      <c r="AB88" s="174">
        <v>1.0</v>
      </c>
      <c r="AC88" s="184">
        <v>800.0</v>
      </c>
      <c r="AD88" s="174">
        <v>1.0</v>
      </c>
      <c r="AE88" s="184">
        <v>800.0</v>
      </c>
      <c r="AF88" s="86" t="s">
        <v>378</v>
      </c>
      <c r="AG88" s="68">
        <v>10400.0</v>
      </c>
      <c r="AH88" s="184">
        <v>8580.0</v>
      </c>
      <c r="AI88" s="114">
        <v>1248.0</v>
      </c>
      <c r="AJ88" s="68">
        <v>260.0</v>
      </c>
      <c r="AK88" s="68">
        <v>312.0</v>
      </c>
      <c r="AL88" s="182" t="s">
        <v>412</v>
      </c>
      <c r="AM88" s="177">
        <v>2022.0</v>
      </c>
      <c r="AN88" s="59" t="s">
        <v>155</v>
      </c>
      <c r="AO88" s="58">
        <v>2028.0</v>
      </c>
      <c r="AP88" s="89" t="s">
        <v>88</v>
      </c>
      <c r="AQ88" s="182" t="s">
        <v>63</v>
      </c>
      <c r="AR88" s="102" t="s">
        <v>121</v>
      </c>
      <c r="AS88" s="170"/>
      <c r="AT88" s="170"/>
      <c r="AU88" s="170"/>
      <c r="AV88" s="170"/>
      <c r="AW88" s="170"/>
      <c r="AX88" s="170"/>
      <c r="AY88" s="170"/>
      <c r="AZ88" s="170"/>
      <c r="BA88" s="170"/>
      <c r="BB88" s="178"/>
      <c r="BC88" s="178"/>
      <c r="BD88" s="178"/>
      <c r="BE88" s="178"/>
      <c r="BF88" s="178"/>
      <c r="BG88" s="183"/>
      <c r="BH88" s="170"/>
      <c r="BI88" s="170"/>
    </row>
    <row r="89" ht="15.75" customHeight="1">
      <c r="A89" s="168" t="s">
        <v>306</v>
      </c>
      <c r="B89" s="179" t="s">
        <v>63</v>
      </c>
      <c r="C89" s="180" t="s">
        <v>413</v>
      </c>
      <c r="D89" s="170" t="s">
        <v>65</v>
      </c>
      <c r="E89" s="170" t="s">
        <v>414</v>
      </c>
      <c r="F89" s="177"/>
      <c r="G89" s="170"/>
      <c r="H89" s="170">
        <v>390.0</v>
      </c>
      <c r="I89" s="170" t="s">
        <v>67</v>
      </c>
      <c r="J89" s="170" t="s">
        <v>68</v>
      </c>
      <c r="K89" s="170" t="s">
        <v>415</v>
      </c>
      <c r="L89" s="172"/>
      <c r="M89" s="171"/>
      <c r="N89" s="174"/>
      <c r="O89" s="177"/>
      <c r="P89" s="187"/>
      <c r="Q89" s="174"/>
      <c r="R89" s="174"/>
      <c r="S89" s="174"/>
      <c r="T89" s="174"/>
      <c r="U89" s="174"/>
      <c r="V89" s="174"/>
      <c r="W89" s="174"/>
      <c r="X89" s="175"/>
      <c r="Y89" s="62"/>
      <c r="Z89" s="64"/>
      <c r="AA89" s="184"/>
      <c r="AB89" s="174"/>
      <c r="AC89" s="184"/>
      <c r="AD89" s="174"/>
      <c r="AE89" s="184"/>
      <c r="AF89" s="86"/>
      <c r="AG89" s="68"/>
      <c r="AH89" s="184"/>
      <c r="AI89" s="114"/>
      <c r="AJ89" s="68"/>
      <c r="AK89" s="68"/>
      <c r="AL89" s="188"/>
      <c r="AM89" s="177"/>
      <c r="AN89" s="59"/>
      <c r="AO89" s="58"/>
      <c r="AP89" s="89"/>
      <c r="AQ89" s="188"/>
      <c r="AR89" s="102"/>
      <c r="AS89" s="170"/>
      <c r="AT89" s="170"/>
      <c r="AU89" s="170"/>
      <c r="AV89" s="170"/>
      <c r="AW89" s="170"/>
      <c r="AX89" s="170"/>
      <c r="AY89" s="170"/>
      <c r="AZ89" s="170"/>
      <c r="BA89" s="170"/>
      <c r="BB89" s="178"/>
      <c r="BC89" s="178"/>
      <c r="BD89" s="178"/>
      <c r="BE89" s="178"/>
      <c r="BF89" s="178"/>
      <c r="BG89" s="183"/>
      <c r="BH89" s="170"/>
      <c r="BI89" s="170"/>
    </row>
    <row r="90" ht="15.75" customHeight="1">
      <c r="A90" s="168" t="s">
        <v>306</v>
      </c>
      <c r="B90" s="179" t="s">
        <v>63</v>
      </c>
      <c r="C90" s="180" t="s">
        <v>416</v>
      </c>
      <c r="D90" s="170" t="s">
        <v>65</v>
      </c>
      <c r="E90" s="170" t="s">
        <v>417</v>
      </c>
      <c r="F90" s="177"/>
      <c r="G90" s="170"/>
      <c r="H90" s="170"/>
      <c r="I90" s="170" t="s">
        <v>67</v>
      </c>
      <c r="J90" s="170" t="s">
        <v>68</v>
      </c>
      <c r="K90" s="170" t="s">
        <v>69</v>
      </c>
      <c r="L90" s="172">
        <v>1.0</v>
      </c>
      <c r="M90" s="171">
        <v>4.0</v>
      </c>
      <c r="N90" s="174"/>
      <c r="O90" s="177"/>
      <c r="P90" s="187"/>
      <c r="Q90" s="174"/>
      <c r="R90" s="174"/>
      <c r="S90" s="174"/>
      <c r="T90" s="174"/>
      <c r="U90" s="174"/>
      <c r="V90" s="174"/>
      <c r="W90" s="174"/>
      <c r="X90" s="175"/>
      <c r="Y90" s="62"/>
      <c r="Z90" s="64"/>
      <c r="AA90" s="184"/>
      <c r="AB90" s="174"/>
      <c r="AC90" s="184"/>
      <c r="AD90" s="174"/>
      <c r="AE90" s="184"/>
      <c r="AF90" s="86"/>
      <c r="AG90" s="68"/>
      <c r="AH90" s="184"/>
      <c r="AI90" s="114"/>
      <c r="AJ90" s="68"/>
      <c r="AK90" s="68"/>
      <c r="AL90" s="188"/>
      <c r="AM90" s="177"/>
      <c r="AN90" s="59"/>
      <c r="AO90" s="58"/>
      <c r="AP90" s="89"/>
      <c r="AQ90" s="188"/>
      <c r="AR90" s="102"/>
      <c r="AS90" s="170"/>
      <c r="AT90" s="170"/>
      <c r="AU90" s="170"/>
      <c r="AV90" s="170"/>
      <c r="AW90" s="170"/>
      <c r="AX90" s="170"/>
      <c r="AY90" s="170"/>
      <c r="AZ90" s="170"/>
      <c r="BA90" s="170"/>
      <c r="BB90" s="178"/>
      <c r="BC90" s="178"/>
      <c r="BD90" s="178"/>
      <c r="BE90" s="178"/>
      <c r="BF90" s="178"/>
      <c r="BG90" s="183"/>
      <c r="BH90" s="170"/>
      <c r="BI90" s="170"/>
    </row>
    <row r="91" ht="15.75" customHeight="1">
      <c r="A91" s="168" t="s">
        <v>306</v>
      </c>
      <c r="B91" s="179" t="s">
        <v>63</v>
      </c>
      <c r="C91" s="180" t="s">
        <v>418</v>
      </c>
      <c r="D91" s="170" t="s">
        <v>65</v>
      </c>
      <c r="E91" s="170" t="s">
        <v>400</v>
      </c>
      <c r="F91" s="177"/>
      <c r="G91" s="170"/>
      <c r="H91" s="189">
        <v>2340.0</v>
      </c>
      <c r="I91" s="170" t="s">
        <v>67</v>
      </c>
      <c r="J91" s="170" t="s">
        <v>68</v>
      </c>
      <c r="K91" s="170" t="s">
        <v>69</v>
      </c>
      <c r="L91" s="172">
        <v>1.0</v>
      </c>
      <c r="M91" s="171">
        <v>2.0</v>
      </c>
      <c r="N91" s="174"/>
      <c r="O91" s="177"/>
      <c r="P91" s="187"/>
      <c r="Q91" s="174"/>
      <c r="R91" s="174"/>
      <c r="S91" s="174"/>
      <c r="T91" s="174"/>
      <c r="U91" s="174"/>
      <c r="V91" s="174"/>
      <c r="W91" s="174"/>
      <c r="X91" s="175"/>
      <c r="Y91" s="62"/>
      <c r="Z91" s="64"/>
      <c r="AA91" s="184"/>
      <c r="AB91" s="174"/>
      <c r="AC91" s="184"/>
      <c r="AD91" s="174"/>
      <c r="AE91" s="184"/>
      <c r="AF91" s="86"/>
      <c r="AG91" s="68"/>
      <c r="AH91" s="184"/>
      <c r="AI91" s="114"/>
      <c r="AJ91" s="68"/>
      <c r="AK91" s="68"/>
      <c r="AL91" s="188"/>
      <c r="AM91" s="177"/>
      <c r="AN91" s="59"/>
      <c r="AO91" s="58"/>
      <c r="AP91" s="89"/>
      <c r="AQ91" s="188"/>
      <c r="AR91" s="102"/>
      <c r="AS91" s="170"/>
      <c r="AT91" s="170"/>
      <c r="AU91" s="170"/>
      <c r="AV91" s="170"/>
      <c r="AW91" s="170"/>
      <c r="AX91" s="170"/>
      <c r="AY91" s="170"/>
      <c r="AZ91" s="170"/>
      <c r="BA91" s="170"/>
      <c r="BB91" s="178"/>
      <c r="BC91" s="178"/>
      <c r="BD91" s="178"/>
      <c r="BE91" s="178"/>
      <c r="BF91" s="178"/>
      <c r="BG91" s="183"/>
      <c r="BH91" s="170"/>
      <c r="BI91" s="170"/>
    </row>
    <row r="92" ht="15.75" customHeight="1">
      <c r="A92" s="168" t="s">
        <v>306</v>
      </c>
      <c r="B92" s="179" t="s">
        <v>63</v>
      </c>
      <c r="C92" s="180" t="s">
        <v>419</v>
      </c>
      <c r="D92" s="170" t="s">
        <v>65</v>
      </c>
      <c r="E92" s="170" t="s">
        <v>420</v>
      </c>
      <c r="F92" s="177"/>
      <c r="G92" s="170"/>
      <c r="H92" s="170">
        <v>390.0</v>
      </c>
      <c r="I92" s="170" t="s">
        <v>67</v>
      </c>
      <c r="J92" s="170" t="s">
        <v>68</v>
      </c>
      <c r="K92" s="170" t="s">
        <v>97</v>
      </c>
      <c r="L92" s="172">
        <v>150.0</v>
      </c>
      <c r="M92" s="171">
        <v>150.0</v>
      </c>
      <c r="N92" s="174"/>
      <c r="O92" s="177"/>
      <c r="P92" s="187"/>
      <c r="Q92" s="174"/>
      <c r="R92" s="174"/>
      <c r="S92" s="174"/>
      <c r="T92" s="174"/>
      <c r="U92" s="174"/>
      <c r="V92" s="174"/>
      <c r="W92" s="174"/>
      <c r="X92" s="175"/>
      <c r="Y92" s="62"/>
      <c r="Z92" s="64"/>
      <c r="AA92" s="184"/>
      <c r="AB92" s="174"/>
      <c r="AC92" s="184"/>
      <c r="AD92" s="174"/>
      <c r="AE92" s="184"/>
      <c r="AF92" s="86"/>
      <c r="AG92" s="68"/>
      <c r="AH92" s="184"/>
      <c r="AI92" s="114"/>
      <c r="AJ92" s="68"/>
      <c r="AK92" s="68"/>
      <c r="AL92" s="188"/>
      <c r="AM92" s="177"/>
      <c r="AN92" s="59"/>
      <c r="AO92" s="58"/>
      <c r="AP92" s="89"/>
      <c r="AQ92" s="188"/>
      <c r="AR92" s="102"/>
      <c r="AS92" s="170"/>
      <c r="AT92" s="170"/>
      <c r="AU92" s="170"/>
      <c r="AV92" s="170"/>
      <c r="AW92" s="170"/>
      <c r="AX92" s="170"/>
      <c r="AY92" s="170"/>
      <c r="AZ92" s="170"/>
      <c r="BA92" s="170"/>
      <c r="BB92" s="178"/>
      <c r="BC92" s="178"/>
      <c r="BD92" s="178"/>
      <c r="BE92" s="178"/>
      <c r="BF92" s="178"/>
      <c r="BG92" s="183"/>
      <c r="BH92" s="170"/>
      <c r="BI92" s="170"/>
    </row>
    <row r="93" ht="15.75" customHeight="1">
      <c r="A93" s="168" t="s">
        <v>306</v>
      </c>
      <c r="B93" s="179" t="s">
        <v>63</v>
      </c>
      <c r="C93" s="180" t="s">
        <v>421</v>
      </c>
      <c r="D93" s="170" t="s">
        <v>65</v>
      </c>
      <c r="E93" s="170" t="s">
        <v>422</v>
      </c>
      <c r="F93" s="177"/>
      <c r="G93" s="170"/>
      <c r="H93" s="170">
        <v>360.0</v>
      </c>
      <c r="I93" s="170" t="s">
        <v>67</v>
      </c>
      <c r="J93" s="170" t="s">
        <v>68</v>
      </c>
      <c r="K93" s="170" t="s">
        <v>69</v>
      </c>
      <c r="L93" s="172">
        <v>1.0</v>
      </c>
      <c r="M93" s="171">
        <v>4.0</v>
      </c>
      <c r="N93" s="174"/>
      <c r="O93" s="177"/>
      <c r="P93" s="187"/>
      <c r="Q93" s="174"/>
      <c r="R93" s="174"/>
      <c r="S93" s="174"/>
      <c r="T93" s="174"/>
      <c r="U93" s="174"/>
      <c r="V93" s="174"/>
      <c r="W93" s="174"/>
      <c r="X93" s="175"/>
      <c r="Y93" s="62"/>
      <c r="Z93" s="64"/>
      <c r="AA93" s="184"/>
      <c r="AB93" s="174"/>
      <c r="AC93" s="184"/>
      <c r="AD93" s="174"/>
      <c r="AE93" s="184"/>
      <c r="AF93" s="86"/>
      <c r="AG93" s="68"/>
      <c r="AH93" s="184"/>
      <c r="AI93" s="114"/>
      <c r="AJ93" s="68"/>
      <c r="AK93" s="68"/>
      <c r="AL93" s="188"/>
      <c r="AM93" s="177"/>
      <c r="AN93" s="59"/>
      <c r="AO93" s="58"/>
      <c r="AP93" s="89"/>
      <c r="AQ93" s="188"/>
      <c r="AR93" s="102"/>
      <c r="AS93" s="170"/>
      <c r="AT93" s="170"/>
      <c r="AU93" s="170"/>
      <c r="AV93" s="170"/>
      <c r="AW93" s="170"/>
      <c r="AX93" s="170"/>
      <c r="AY93" s="170"/>
      <c r="AZ93" s="170"/>
      <c r="BA93" s="170"/>
      <c r="BB93" s="178"/>
      <c r="BC93" s="178"/>
      <c r="BD93" s="178"/>
      <c r="BE93" s="178"/>
      <c r="BF93" s="178"/>
      <c r="BG93" s="183"/>
      <c r="BH93" s="170"/>
      <c r="BI93" s="170"/>
    </row>
    <row r="94" ht="15.75" customHeight="1">
      <c r="A94" s="168" t="s">
        <v>306</v>
      </c>
      <c r="B94" s="179" t="s">
        <v>63</v>
      </c>
      <c r="C94" s="180" t="s">
        <v>423</v>
      </c>
      <c r="D94" s="170" t="s">
        <v>65</v>
      </c>
      <c r="E94" s="170" t="s">
        <v>424</v>
      </c>
      <c r="F94" s="177"/>
      <c r="G94" s="170"/>
      <c r="H94" s="170">
        <v>440.0</v>
      </c>
      <c r="I94" s="170" t="s">
        <v>67</v>
      </c>
      <c r="J94" s="170" t="s">
        <v>68</v>
      </c>
      <c r="K94" s="170" t="s">
        <v>415</v>
      </c>
      <c r="L94" s="172">
        <v>30.0</v>
      </c>
      <c r="M94" s="171">
        <v>50.0</v>
      </c>
      <c r="N94" s="174"/>
      <c r="O94" s="177"/>
      <c r="P94" s="187"/>
      <c r="Q94" s="174"/>
      <c r="R94" s="174"/>
      <c r="S94" s="174"/>
      <c r="T94" s="174"/>
      <c r="U94" s="174"/>
      <c r="V94" s="174"/>
      <c r="W94" s="174"/>
      <c r="X94" s="175"/>
      <c r="Y94" s="62"/>
      <c r="Z94" s="64"/>
      <c r="AA94" s="184"/>
      <c r="AB94" s="174"/>
      <c r="AC94" s="184"/>
      <c r="AD94" s="174"/>
      <c r="AE94" s="184"/>
      <c r="AF94" s="86"/>
      <c r="AG94" s="68"/>
      <c r="AH94" s="184"/>
      <c r="AI94" s="114"/>
      <c r="AJ94" s="68"/>
      <c r="AK94" s="68"/>
      <c r="AL94" s="188"/>
      <c r="AM94" s="177"/>
      <c r="AN94" s="59"/>
      <c r="AO94" s="58"/>
      <c r="AP94" s="89"/>
      <c r="AQ94" s="188"/>
      <c r="AR94" s="102"/>
      <c r="AS94" s="170"/>
      <c r="AT94" s="170"/>
      <c r="AU94" s="170"/>
      <c r="AV94" s="170"/>
      <c r="AW94" s="170"/>
      <c r="AX94" s="170"/>
      <c r="AY94" s="170"/>
      <c r="AZ94" s="170"/>
      <c r="BA94" s="170"/>
      <c r="BB94" s="178"/>
      <c r="BC94" s="178"/>
      <c r="BD94" s="178"/>
      <c r="BE94" s="178"/>
      <c r="BF94" s="178"/>
      <c r="BG94" s="183"/>
      <c r="BH94" s="170"/>
      <c r="BI94" s="170"/>
    </row>
    <row r="95" ht="15.75" customHeight="1">
      <c r="A95" s="190" t="s">
        <v>425</v>
      </c>
      <c r="B95" s="191" t="s">
        <v>63</v>
      </c>
      <c r="C95" s="169" t="s">
        <v>426</v>
      </c>
      <c r="D95" s="192"/>
      <c r="E95" s="192" t="s">
        <v>427</v>
      </c>
      <c r="F95" s="193" t="s">
        <v>428</v>
      </c>
      <c r="G95" s="192"/>
      <c r="H95" s="192"/>
      <c r="I95" s="192"/>
      <c r="J95" s="192" t="s">
        <v>429</v>
      </c>
      <c r="K95" s="192" t="s">
        <v>69</v>
      </c>
      <c r="L95" s="194"/>
      <c r="M95" s="195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6"/>
      <c r="Y95" s="62">
        <f t="shared" ref="Y95:Y117" si="54">SUM(S95:T95)</f>
        <v>0</v>
      </c>
      <c r="Z95" s="64" t="str">
        <f t="shared" ref="Z95:Z117" si="55">S95/Y95</f>
        <v>#DIV/0!</v>
      </c>
      <c r="AA95" s="190"/>
      <c r="AB95" s="190"/>
      <c r="AC95" s="190"/>
      <c r="AD95" s="190"/>
      <c r="AE95" s="190"/>
      <c r="AF95" s="86" t="str">
        <f t="shared" ref="AF95:AF116" si="56">DATEDIF(#REF!,#REF!,"M")+1</f>
        <v>#REF!</v>
      </c>
      <c r="AG95" s="68" t="str">
        <f t="shared" ref="AG95:AG109" si="57">LARGE(AS95:BA95,1)*((AA95*AB95)+(AC95*AD95)+(AE95*AF95))</f>
        <v>#NUM!</v>
      </c>
      <c r="AH95" s="190"/>
      <c r="AI95" s="68">
        <f t="shared" ref="AI95:AI104" si="58">AA95*0.2</f>
        <v>0</v>
      </c>
      <c r="AJ95" s="68" t="str">
        <f t="shared" ref="AJ95:AJ104" si="59">AG95*0.025</f>
        <v>#NUM!</v>
      </c>
      <c r="AK95" s="68" t="str">
        <f t="shared" ref="AK95:AK104" si="60">0.03*AG95</f>
        <v>#NUM!</v>
      </c>
      <c r="AL95" s="192"/>
      <c r="AM95" s="193"/>
      <c r="AN95" s="58"/>
      <c r="AO95" s="58"/>
      <c r="AP95" s="89"/>
      <c r="AQ95" s="192"/>
      <c r="AR95" s="89" t="s">
        <v>102</v>
      </c>
      <c r="AS95" s="192"/>
      <c r="AT95" s="192"/>
      <c r="AU95" s="192"/>
      <c r="AV95" s="192"/>
      <c r="AW95" s="192"/>
      <c r="AX95" s="192"/>
      <c r="AY95" s="192"/>
      <c r="AZ95" s="192"/>
      <c r="BA95" s="192"/>
      <c r="BB95" s="197">
        <v>44817.0</v>
      </c>
      <c r="BC95" s="197">
        <v>44817.0</v>
      </c>
      <c r="BD95" s="197">
        <v>44817.0</v>
      </c>
      <c r="BE95" s="197">
        <v>44817.0</v>
      </c>
      <c r="BF95" s="197">
        <v>44817.0</v>
      </c>
      <c r="BG95" s="192"/>
      <c r="BH95" s="192"/>
      <c r="BI95" s="192"/>
    </row>
    <row r="96" ht="15.75" customHeight="1">
      <c r="A96" s="190" t="s">
        <v>425</v>
      </c>
      <c r="B96" s="191" t="s">
        <v>63</v>
      </c>
      <c r="C96" s="198" t="s">
        <v>430</v>
      </c>
      <c r="D96" s="192"/>
      <c r="E96" s="192" t="s">
        <v>431</v>
      </c>
      <c r="F96" s="193" t="s">
        <v>432</v>
      </c>
      <c r="G96" s="192"/>
      <c r="H96" s="192"/>
      <c r="I96" s="192"/>
      <c r="J96" s="192" t="s">
        <v>429</v>
      </c>
      <c r="K96" s="192" t="s">
        <v>69</v>
      </c>
      <c r="L96" s="194"/>
      <c r="M96" s="195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6"/>
      <c r="Y96" s="62">
        <f t="shared" si="54"/>
        <v>0</v>
      </c>
      <c r="Z96" s="64" t="str">
        <f t="shared" si="55"/>
        <v>#DIV/0!</v>
      </c>
      <c r="AA96" s="190"/>
      <c r="AB96" s="190"/>
      <c r="AC96" s="190"/>
      <c r="AD96" s="190"/>
      <c r="AE96" s="190"/>
      <c r="AF96" s="86" t="str">
        <f t="shared" si="56"/>
        <v>#REF!</v>
      </c>
      <c r="AG96" s="68" t="str">
        <f t="shared" si="57"/>
        <v>#NUM!</v>
      </c>
      <c r="AH96" s="190"/>
      <c r="AI96" s="68">
        <f t="shared" si="58"/>
        <v>0</v>
      </c>
      <c r="AJ96" s="68" t="str">
        <f t="shared" si="59"/>
        <v>#NUM!</v>
      </c>
      <c r="AK96" s="68" t="str">
        <f t="shared" si="60"/>
        <v>#NUM!</v>
      </c>
      <c r="AL96" s="192"/>
      <c r="AM96" s="193"/>
      <c r="AN96" s="58"/>
      <c r="AO96" s="58"/>
      <c r="AP96" s="192" t="s">
        <v>88</v>
      </c>
      <c r="AQ96" s="199" t="s">
        <v>63</v>
      </c>
      <c r="AR96" s="89" t="s">
        <v>102</v>
      </c>
      <c r="AS96" s="192"/>
      <c r="AT96" s="192"/>
      <c r="AU96" s="192"/>
      <c r="AV96" s="192"/>
      <c r="AW96" s="192"/>
      <c r="AX96" s="192"/>
      <c r="AY96" s="192"/>
      <c r="AZ96" s="192"/>
      <c r="BA96" s="192"/>
      <c r="BB96" s="197">
        <v>44817.0</v>
      </c>
      <c r="BC96" s="197">
        <v>44817.0</v>
      </c>
      <c r="BD96" s="197">
        <v>44817.0</v>
      </c>
      <c r="BE96" s="197">
        <v>44817.0</v>
      </c>
      <c r="BF96" s="197">
        <v>44817.0</v>
      </c>
      <c r="BG96" s="192"/>
      <c r="BH96" s="192"/>
      <c r="BI96" s="192"/>
    </row>
    <row r="97" ht="15.75" customHeight="1">
      <c r="A97" s="190" t="s">
        <v>425</v>
      </c>
      <c r="B97" s="191" t="s">
        <v>63</v>
      </c>
      <c r="C97" s="169" t="s">
        <v>433</v>
      </c>
      <c r="D97" s="192"/>
      <c r="E97" s="192" t="s">
        <v>434</v>
      </c>
      <c r="F97" s="193" t="s">
        <v>435</v>
      </c>
      <c r="G97" s="192"/>
      <c r="H97" s="192"/>
      <c r="I97" s="192"/>
      <c r="J97" s="192" t="s">
        <v>429</v>
      </c>
      <c r="K97" s="192" t="s">
        <v>69</v>
      </c>
      <c r="L97" s="194"/>
      <c r="M97" s="195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6"/>
      <c r="Y97" s="62">
        <f t="shared" si="54"/>
        <v>0</v>
      </c>
      <c r="Z97" s="64" t="str">
        <f t="shared" si="55"/>
        <v>#DIV/0!</v>
      </c>
      <c r="AA97" s="190"/>
      <c r="AB97" s="190"/>
      <c r="AC97" s="190"/>
      <c r="AD97" s="190"/>
      <c r="AE97" s="190"/>
      <c r="AF97" s="86" t="str">
        <f t="shared" si="56"/>
        <v>#REF!</v>
      </c>
      <c r="AG97" s="68" t="str">
        <f t="shared" si="57"/>
        <v>#NUM!</v>
      </c>
      <c r="AH97" s="190"/>
      <c r="AI97" s="68">
        <f t="shared" si="58"/>
        <v>0</v>
      </c>
      <c r="AJ97" s="68" t="str">
        <f t="shared" si="59"/>
        <v>#NUM!</v>
      </c>
      <c r="AK97" s="68" t="str">
        <f t="shared" si="60"/>
        <v>#NUM!</v>
      </c>
      <c r="AL97" s="192"/>
      <c r="AM97" s="193"/>
      <c r="AN97" s="58"/>
      <c r="AO97" s="58"/>
      <c r="AP97" s="192"/>
      <c r="AQ97" s="192"/>
      <c r="AR97" s="89" t="s">
        <v>102</v>
      </c>
      <c r="AS97" s="192"/>
      <c r="AT97" s="192"/>
      <c r="AU97" s="192"/>
      <c r="AV97" s="192"/>
      <c r="AW97" s="192"/>
      <c r="AX97" s="192"/>
      <c r="AY97" s="192"/>
      <c r="AZ97" s="192"/>
      <c r="BA97" s="192"/>
      <c r="BB97" s="197">
        <v>44817.0</v>
      </c>
      <c r="BC97" s="197">
        <v>44817.0</v>
      </c>
      <c r="BD97" s="197">
        <v>44817.0</v>
      </c>
      <c r="BE97" s="197">
        <v>44817.0</v>
      </c>
      <c r="BF97" s="197">
        <v>44817.0</v>
      </c>
      <c r="BG97" s="192"/>
      <c r="BH97" s="192"/>
      <c r="BI97" s="192"/>
    </row>
    <row r="98" ht="15.75" customHeight="1">
      <c r="A98" s="190" t="s">
        <v>425</v>
      </c>
      <c r="B98" s="191" t="s">
        <v>63</v>
      </c>
      <c r="C98" s="169" t="s">
        <v>436</v>
      </c>
      <c r="D98" s="192"/>
      <c r="E98" s="192" t="s">
        <v>437</v>
      </c>
      <c r="F98" s="193" t="s">
        <v>438</v>
      </c>
      <c r="G98" s="192"/>
      <c r="H98" s="192"/>
      <c r="I98" s="192"/>
      <c r="J98" s="192" t="s">
        <v>429</v>
      </c>
      <c r="K98" s="192" t="s">
        <v>69</v>
      </c>
      <c r="L98" s="194"/>
      <c r="M98" s="195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6"/>
      <c r="Y98" s="62">
        <f t="shared" si="54"/>
        <v>0</v>
      </c>
      <c r="Z98" s="64" t="str">
        <f t="shared" si="55"/>
        <v>#DIV/0!</v>
      </c>
      <c r="AA98" s="190"/>
      <c r="AB98" s="190"/>
      <c r="AC98" s="190"/>
      <c r="AD98" s="190"/>
      <c r="AE98" s="190"/>
      <c r="AF98" s="86" t="str">
        <f t="shared" si="56"/>
        <v>#REF!</v>
      </c>
      <c r="AG98" s="68" t="str">
        <f t="shared" si="57"/>
        <v>#NUM!</v>
      </c>
      <c r="AH98" s="190"/>
      <c r="AI98" s="68">
        <f t="shared" si="58"/>
        <v>0</v>
      </c>
      <c r="AJ98" s="68" t="str">
        <f t="shared" si="59"/>
        <v>#NUM!</v>
      </c>
      <c r="AK98" s="68" t="str">
        <f t="shared" si="60"/>
        <v>#NUM!</v>
      </c>
      <c r="AL98" s="192"/>
      <c r="AM98" s="193"/>
      <c r="AN98" s="58"/>
      <c r="AO98" s="58"/>
      <c r="AP98" s="192"/>
      <c r="AQ98" s="192"/>
      <c r="AR98" s="89" t="s">
        <v>102</v>
      </c>
      <c r="AS98" s="192"/>
      <c r="AT98" s="192"/>
      <c r="AU98" s="192"/>
      <c r="AV98" s="192"/>
      <c r="AW98" s="192"/>
      <c r="AX98" s="192"/>
      <c r="AY98" s="192"/>
      <c r="AZ98" s="192"/>
      <c r="BA98" s="192"/>
      <c r="BB98" s="197">
        <v>44817.0</v>
      </c>
      <c r="BC98" s="197">
        <v>44817.0</v>
      </c>
      <c r="BD98" s="197">
        <v>44817.0</v>
      </c>
      <c r="BE98" s="197">
        <v>44817.0</v>
      </c>
      <c r="BF98" s="197">
        <v>44817.0</v>
      </c>
      <c r="BG98" s="192"/>
      <c r="BH98" s="192"/>
      <c r="BI98" s="192"/>
    </row>
    <row r="99" ht="15.75" customHeight="1">
      <c r="A99" s="190" t="s">
        <v>425</v>
      </c>
      <c r="B99" s="191" t="s">
        <v>63</v>
      </c>
      <c r="C99" s="169" t="s">
        <v>439</v>
      </c>
      <c r="D99" s="192"/>
      <c r="E99" s="192" t="s">
        <v>440</v>
      </c>
      <c r="F99" s="193" t="s">
        <v>441</v>
      </c>
      <c r="G99" s="192"/>
      <c r="H99" s="192"/>
      <c r="I99" s="192"/>
      <c r="J99" s="192" t="s">
        <v>429</v>
      </c>
      <c r="K99" s="192" t="s">
        <v>69</v>
      </c>
      <c r="L99" s="194"/>
      <c r="M99" s="195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6"/>
      <c r="Y99" s="62">
        <f t="shared" si="54"/>
        <v>0</v>
      </c>
      <c r="Z99" s="64" t="str">
        <f t="shared" si="55"/>
        <v>#DIV/0!</v>
      </c>
      <c r="AA99" s="190"/>
      <c r="AB99" s="190"/>
      <c r="AC99" s="190"/>
      <c r="AD99" s="190"/>
      <c r="AE99" s="190"/>
      <c r="AF99" s="86" t="str">
        <f t="shared" si="56"/>
        <v>#REF!</v>
      </c>
      <c r="AG99" s="68" t="str">
        <f t="shared" si="57"/>
        <v>#NUM!</v>
      </c>
      <c r="AH99" s="190"/>
      <c r="AI99" s="68">
        <f t="shared" si="58"/>
        <v>0</v>
      </c>
      <c r="AJ99" s="68" t="str">
        <f t="shared" si="59"/>
        <v>#NUM!</v>
      </c>
      <c r="AK99" s="68" t="str">
        <f t="shared" si="60"/>
        <v>#NUM!</v>
      </c>
      <c r="AL99" s="192"/>
      <c r="AM99" s="193"/>
      <c r="AN99" s="58"/>
      <c r="AO99" s="58"/>
      <c r="AP99" s="192"/>
      <c r="AQ99" s="192"/>
      <c r="AR99" s="89" t="s">
        <v>102</v>
      </c>
      <c r="AS99" s="192"/>
      <c r="AT99" s="192"/>
      <c r="AU99" s="192"/>
      <c r="AV99" s="192"/>
      <c r="AW99" s="192"/>
      <c r="AX99" s="192"/>
      <c r="AY99" s="192"/>
      <c r="AZ99" s="192"/>
      <c r="BA99" s="192"/>
      <c r="BB99" s="197">
        <v>44817.0</v>
      </c>
      <c r="BC99" s="197">
        <v>44817.0</v>
      </c>
      <c r="BD99" s="197">
        <v>44817.0</v>
      </c>
      <c r="BE99" s="197">
        <v>44817.0</v>
      </c>
      <c r="BF99" s="197">
        <v>44817.0</v>
      </c>
      <c r="BG99" s="192"/>
      <c r="BH99" s="192"/>
      <c r="BI99" s="192"/>
    </row>
    <row r="100" ht="15.75" customHeight="1">
      <c r="A100" s="190" t="s">
        <v>425</v>
      </c>
      <c r="B100" s="191" t="s">
        <v>63</v>
      </c>
      <c r="C100" s="169" t="s">
        <v>442</v>
      </c>
      <c r="D100" s="192"/>
      <c r="E100" s="192" t="s">
        <v>443</v>
      </c>
      <c r="F100" s="193" t="s">
        <v>444</v>
      </c>
      <c r="G100" s="192"/>
      <c r="H100" s="192"/>
      <c r="I100" s="192"/>
      <c r="J100" s="192" t="s">
        <v>429</v>
      </c>
      <c r="K100" s="192" t="s">
        <v>69</v>
      </c>
      <c r="L100" s="194"/>
      <c r="M100" s="195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6"/>
      <c r="Y100" s="62">
        <f t="shared" si="54"/>
        <v>0</v>
      </c>
      <c r="Z100" s="64" t="str">
        <f t="shared" si="55"/>
        <v>#DIV/0!</v>
      </c>
      <c r="AA100" s="190"/>
      <c r="AB100" s="190"/>
      <c r="AC100" s="190"/>
      <c r="AD100" s="190"/>
      <c r="AE100" s="190"/>
      <c r="AF100" s="86" t="str">
        <f t="shared" si="56"/>
        <v>#REF!</v>
      </c>
      <c r="AG100" s="68" t="str">
        <f t="shared" si="57"/>
        <v>#NUM!</v>
      </c>
      <c r="AH100" s="190"/>
      <c r="AI100" s="68">
        <f t="shared" si="58"/>
        <v>0</v>
      </c>
      <c r="AJ100" s="68" t="str">
        <f t="shared" si="59"/>
        <v>#NUM!</v>
      </c>
      <c r="AK100" s="68" t="str">
        <f t="shared" si="60"/>
        <v>#NUM!</v>
      </c>
      <c r="AL100" s="192"/>
      <c r="AM100" s="193"/>
      <c r="AN100" s="58"/>
      <c r="AO100" s="58"/>
      <c r="AP100" s="192"/>
      <c r="AQ100" s="192"/>
      <c r="AR100" s="89" t="s">
        <v>102</v>
      </c>
      <c r="AS100" s="192"/>
      <c r="AT100" s="192"/>
      <c r="AU100" s="192"/>
      <c r="AV100" s="192"/>
      <c r="AW100" s="192"/>
      <c r="AX100" s="192"/>
      <c r="AY100" s="192"/>
      <c r="AZ100" s="192"/>
      <c r="BA100" s="192"/>
      <c r="BB100" s="197">
        <v>44817.0</v>
      </c>
      <c r="BC100" s="197">
        <v>44817.0</v>
      </c>
      <c r="BD100" s="197">
        <v>44817.0</v>
      </c>
      <c r="BE100" s="197">
        <v>44817.0</v>
      </c>
      <c r="BF100" s="197">
        <v>44817.0</v>
      </c>
      <c r="BG100" s="192"/>
      <c r="BH100" s="192"/>
      <c r="BI100" s="192"/>
    </row>
    <row r="101" ht="15.75" customHeight="1">
      <c r="A101" s="190" t="s">
        <v>425</v>
      </c>
      <c r="B101" s="191" t="s">
        <v>63</v>
      </c>
      <c r="C101" s="169" t="s">
        <v>445</v>
      </c>
      <c r="D101" s="192"/>
      <c r="E101" s="192" t="s">
        <v>443</v>
      </c>
      <c r="F101" s="193" t="s">
        <v>444</v>
      </c>
      <c r="G101" s="192"/>
      <c r="H101" s="192"/>
      <c r="I101" s="192"/>
      <c r="J101" s="192" t="s">
        <v>429</v>
      </c>
      <c r="K101" s="192" t="s">
        <v>69</v>
      </c>
      <c r="L101" s="194"/>
      <c r="M101" s="195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6"/>
      <c r="Y101" s="62">
        <f t="shared" si="54"/>
        <v>0</v>
      </c>
      <c r="Z101" s="64" t="str">
        <f t="shared" si="55"/>
        <v>#DIV/0!</v>
      </c>
      <c r="AA101" s="190"/>
      <c r="AB101" s="190"/>
      <c r="AC101" s="190"/>
      <c r="AD101" s="190"/>
      <c r="AE101" s="190"/>
      <c r="AF101" s="86" t="str">
        <f t="shared" si="56"/>
        <v>#REF!</v>
      </c>
      <c r="AG101" s="68" t="str">
        <f t="shared" si="57"/>
        <v>#NUM!</v>
      </c>
      <c r="AH101" s="190"/>
      <c r="AI101" s="68">
        <f t="shared" si="58"/>
        <v>0</v>
      </c>
      <c r="AJ101" s="68" t="str">
        <f t="shared" si="59"/>
        <v>#NUM!</v>
      </c>
      <c r="AK101" s="68" t="str">
        <f t="shared" si="60"/>
        <v>#NUM!</v>
      </c>
      <c r="AL101" s="192"/>
      <c r="AM101" s="193"/>
      <c r="AN101" s="58"/>
      <c r="AO101" s="58"/>
      <c r="AP101" s="192"/>
      <c r="AQ101" s="192"/>
      <c r="AR101" s="89" t="s">
        <v>102</v>
      </c>
      <c r="AS101" s="192"/>
      <c r="AT101" s="192"/>
      <c r="AU101" s="192"/>
      <c r="AV101" s="192"/>
      <c r="AW101" s="192"/>
      <c r="AX101" s="192"/>
      <c r="AY101" s="192"/>
      <c r="AZ101" s="192"/>
      <c r="BA101" s="192"/>
      <c r="BB101" s="197">
        <v>44817.0</v>
      </c>
      <c r="BC101" s="197">
        <v>44817.0</v>
      </c>
      <c r="BD101" s="197">
        <v>44817.0</v>
      </c>
      <c r="BE101" s="197">
        <v>44817.0</v>
      </c>
      <c r="BF101" s="197">
        <v>44817.0</v>
      </c>
      <c r="BG101" s="192"/>
      <c r="BH101" s="192"/>
      <c r="BI101" s="192"/>
    </row>
    <row r="102" ht="15.75" customHeight="1">
      <c r="A102" s="190" t="s">
        <v>425</v>
      </c>
      <c r="B102" s="191" t="s">
        <v>63</v>
      </c>
      <c r="C102" s="169" t="s">
        <v>446</v>
      </c>
      <c r="D102" s="192"/>
      <c r="E102" s="192" t="s">
        <v>447</v>
      </c>
      <c r="F102" s="193" t="s">
        <v>448</v>
      </c>
      <c r="G102" s="192"/>
      <c r="H102" s="192"/>
      <c r="I102" s="192"/>
      <c r="J102" s="192" t="s">
        <v>429</v>
      </c>
      <c r="K102" s="192" t="s">
        <v>69</v>
      </c>
      <c r="L102" s="194"/>
      <c r="M102" s="195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6"/>
      <c r="Y102" s="62">
        <f t="shared" si="54"/>
        <v>0</v>
      </c>
      <c r="Z102" s="64" t="str">
        <f t="shared" si="55"/>
        <v>#DIV/0!</v>
      </c>
      <c r="AA102" s="190"/>
      <c r="AB102" s="190"/>
      <c r="AC102" s="190"/>
      <c r="AD102" s="190"/>
      <c r="AE102" s="190"/>
      <c r="AF102" s="86" t="str">
        <f t="shared" si="56"/>
        <v>#REF!</v>
      </c>
      <c r="AG102" s="68" t="str">
        <f t="shared" si="57"/>
        <v>#NUM!</v>
      </c>
      <c r="AH102" s="190"/>
      <c r="AI102" s="68">
        <f t="shared" si="58"/>
        <v>0</v>
      </c>
      <c r="AJ102" s="68" t="str">
        <f t="shared" si="59"/>
        <v>#NUM!</v>
      </c>
      <c r="AK102" s="68" t="str">
        <f t="shared" si="60"/>
        <v>#NUM!</v>
      </c>
      <c r="AL102" s="192"/>
      <c r="AM102" s="193"/>
      <c r="AN102" s="58"/>
      <c r="AO102" s="58"/>
      <c r="AP102" s="192"/>
      <c r="AQ102" s="192"/>
      <c r="AR102" s="89" t="s">
        <v>102</v>
      </c>
      <c r="AS102" s="192"/>
      <c r="AT102" s="192"/>
      <c r="AU102" s="192"/>
      <c r="AV102" s="192"/>
      <c r="AW102" s="192"/>
      <c r="AX102" s="192"/>
      <c r="AY102" s="192"/>
      <c r="AZ102" s="192"/>
      <c r="BA102" s="192"/>
      <c r="BB102" s="197">
        <v>44817.0</v>
      </c>
      <c r="BC102" s="197">
        <v>44817.0</v>
      </c>
      <c r="BD102" s="197">
        <v>44817.0</v>
      </c>
      <c r="BE102" s="197">
        <v>44817.0</v>
      </c>
      <c r="BF102" s="197">
        <v>44817.0</v>
      </c>
      <c r="BG102" s="192"/>
      <c r="BH102" s="192"/>
      <c r="BI102" s="192"/>
    </row>
    <row r="103" ht="15.75" customHeight="1">
      <c r="A103" s="190" t="s">
        <v>425</v>
      </c>
      <c r="B103" s="191" t="s">
        <v>63</v>
      </c>
      <c r="C103" s="169" t="s">
        <v>449</v>
      </c>
      <c r="D103" s="192"/>
      <c r="E103" s="192" t="s">
        <v>450</v>
      </c>
      <c r="F103" s="193" t="s">
        <v>451</v>
      </c>
      <c r="G103" s="192"/>
      <c r="H103" s="192"/>
      <c r="I103" s="192"/>
      <c r="J103" s="192" t="s">
        <v>429</v>
      </c>
      <c r="K103" s="192" t="s">
        <v>69</v>
      </c>
      <c r="L103" s="194"/>
      <c r="M103" s="195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6"/>
      <c r="Y103" s="62">
        <f t="shared" si="54"/>
        <v>0</v>
      </c>
      <c r="Z103" s="64" t="str">
        <f t="shared" si="55"/>
        <v>#DIV/0!</v>
      </c>
      <c r="AA103" s="190"/>
      <c r="AB103" s="190"/>
      <c r="AC103" s="190"/>
      <c r="AD103" s="190"/>
      <c r="AE103" s="190"/>
      <c r="AF103" s="86" t="str">
        <f t="shared" si="56"/>
        <v>#REF!</v>
      </c>
      <c r="AG103" s="68" t="str">
        <f t="shared" si="57"/>
        <v>#NUM!</v>
      </c>
      <c r="AH103" s="190"/>
      <c r="AI103" s="68">
        <f t="shared" si="58"/>
        <v>0</v>
      </c>
      <c r="AJ103" s="68" t="str">
        <f t="shared" si="59"/>
        <v>#NUM!</v>
      </c>
      <c r="AK103" s="68" t="str">
        <f t="shared" si="60"/>
        <v>#NUM!</v>
      </c>
      <c r="AL103" s="192"/>
      <c r="AM103" s="193"/>
      <c r="AN103" s="58"/>
      <c r="AO103" s="58"/>
      <c r="AP103" s="192"/>
      <c r="AQ103" s="192"/>
      <c r="AR103" s="89" t="s">
        <v>102</v>
      </c>
      <c r="AS103" s="192"/>
      <c r="AT103" s="192"/>
      <c r="AU103" s="192"/>
      <c r="AV103" s="192"/>
      <c r="AW103" s="192"/>
      <c r="AX103" s="192"/>
      <c r="AY103" s="192"/>
      <c r="AZ103" s="192"/>
      <c r="BA103" s="192"/>
      <c r="BB103" s="197">
        <v>44817.0</v>
      </c>
      <c r="BC103" s="197">
        <v>44817.0</v>
      </c>
      <c r="BD103" s="197">
        <v>44817.0</v>
      </c>
      <c r="BE103" s="197">
        <v>44817.0</v>
      </c>
      <c r="BF103" s="197">
        <v>44817.0</v>
      </c>
      <c r="BG103" s="192"/>
      <c r="BH103" s="192"/>
      <c r="BI103" s="192"/>
    </row>
    <row r="104" ht="15.75" customHeight="1">
      <c r="A104" s="190" t="s">
        <v>425</v>
      </c>
      <c r="B104" s="191" t="s">
        <v>63</v>
      </c>
      <c r="C104" s="198" t="s">
        <v>452</v>
      </c>
      <c r="D104" s="192"/>
      <c r="E104" s="192" t="s">
        <v>453</v>
      </c>
      <c r="F104" s="193" t="s">
        <v>454</v>
      </c>
      <c r="G104" s="192"/>
      <c r="H104" s="192"/>
      <c r="I104" s="192"/>
      <c r="J104" s="192" t="s">
        <v>429</v>
      </c>
      <c r="K104" s="192" t="s">
        <v>69</v>
      </c>
      <c r="L104" s="194"/>
      <c r="M104" s="195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6"/>
      <c r="Y104" s="62">
        <f t="shared" si="54"/>
        <v>0</v>
      </c>
      <c r="Z104" s="64" t="str">
        <f t="shared" si="55"/>
        <v>#DIV/0!</v>
      </c>
      <c r="AA104" s="190"/>
      <c r="AB104" s="190"/>
      <c r="AC104" s="190"/>
      <c r="AD104" s="190"/>
      <c r="AE104" s="190"/>
      <c r="AF104" s="86" t="str">
        <f t="shared" si="56"/>
        <v>#REF!</v>
      </c>
      <c r="AG104" s="68" t="str">
        <f t="shared" si="57"/>
        <v>#NUM!</v>
      </c>
      <c r="AH104" s="190"/>
      <c r="AI104" s="68">
        <f t="shared" si="58"/>
        <v>0</v>
      </c>
      <c r="AJ104" s="68" t="str">
        <f t="shared" si="59"/>
        <v>#NUM!</v>
      </c>
      <c r="AK104" s="68" t="str">
        <f t="shared" si="60"/>
        <v>#NUM!</v>
      </c>
      <c r="AL104" s="192"/>
      <c r="AM104" s="193"/>
      <c r="AN104" s="58"/>
      <c r="AO104" s="58"/>
      <c r="AP104" s="192" t="s">
        <v>88</v>
      </c>
      <c r="AQ104" s="199" t="s">
        <v>63</v>
      </c>
      <c r="AR104" s="89" t="s">
        <v>102</v>
      </c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7">
        <v>44817.0</v>
      </c>
      <c r="BC104" s="197">
        <v>44817.0</v>
      </c>
      <c r="BD104" s="197">
        <v>44817.0</v>
      </c>
      <c r="BE104" s="197">
        <v>44817.0</v>
      </c>
      <c r="BF104" s="197">
        <v>44817.0</v>
      </c>
      <c r="BG104" s="192"/>
      <c r="BH104" s="192"/>
      <c r="BI104" s="192"/>
    </row>
    <row r="105" ht="15.75" customHeight="1">
      <c r="A105" s="190" t="s">
        <v>425</v>
      </c>
      <c r="B105" s="191" t="s">
        <v>63</v>
      </c>
      <c r="C105" s="198" t="s">
        <v>455</v>
      </c>
      <c r="D105" s="192" t="s">
        <v>65</v>
      </c>
      <c r="E105" s="192" t="s">
        <v>453</v>
      </c>
      <c r="F105" s="193" t="s">
        <v>454</v>
      </c>
      <c r="G105" s="192" t="s">
        <v>456</v>
      </c>
      <c r="H105" s="192" t="s">
        <v>347</v>
      </c>
      <c r="I105" s="192" t="s">
        <v>74</v>
      </c>
      <c r="J105" s="192" t="s">
        <v>429</v>
      </c>
      <c r="K105" s="192" t="s">
        <v>69</v>
      </c>
      <c r="L105" s="194">
        <v>1.0</v>
      </c>
      <c r="M105" s="195">
        <v>1.0</v>
      </c>
      <c r="N105" s="190">
        <v>2015.0</v>
      </c>
      <c r="O105" s="200" t="s">
        <v>457</v>
      </c>
      <c r="P105" s="201" t="s">
        <v>458</v>
      </c>
      <c r="Q105" s="190" t="s">
        <v>85</v>
      </c>
      <c r="R105" s="190" t="s">
        <v>86</v>
      </c>
      <c r="S105" s="190">
        <v>18.0</v>
      </c>
      <c r="T105" s="190">
        <v>6.0</v>
      </c>
      <c r="U105" s="190"/>
      <c r="V105" s="190">
        <v>15.0</v>
      </c>
      <c r="W105" s="190">
        <v>9.0</v>
      </c>
      <c r="X105" s="196">
        <v>0.0</v>
      </c>
      <c r="Y105" s="62">
        <f t="shared" si="54"/>
        <v>24</v>
      </c>
      <c r="Z105" s="64">
        <f t="shared" si="55"/>
        <v>0.75</v>
      </c>
      <c r="AA105" s="190" t="s">
        <v>370</v>
      </c>
      <c r="AB105" s="190" t="s">
        <v>370</v>
      </c>
      <c r="AC105" s="190" t="s">
        <v>370</v>
      </c>
      <c r="AD105" s="190" t="s">
        <v>370</v>
      </c>
      <c r="AE105" s="190" t="s">
        <v>370</v>
      </c>
      <c r="AF105" s="86" t="str">
        <f t="shared" si="56"/>
        <v>#REF!</v>
      </c>
      <c r="AG105" s="68" t="str">
        <f t="shared" si="57"/>
        <v>#NUM!</v>
      </c>
      <c r="AH105" s="190" t="s">
        <v>370</v>
      </c>
      <c r="AI105" s="68" t="s">
        <v>371</v>
      </c>
      <c r="AJ105" s="68" t="s">
        <v>371</v>
      </c>
      <c r="AK105" s="68" t="s">
        <v>371</v>
      </c>
      <c r="AL105" s="201" t="s">
        <v>459</v>
      </c>
      <c r="AM105" s="200">
        <v>2021.0</v>
      </c>
      <c r="AN105" s="59" t="s">
        <v>155</v>
      </c>
      <c r="AO105" s="58">
        <v>2027.0</v>
      </c>
      <c r="AP105" s="192" t="s">
        <v>156</v>
      </c>
      <c r="AQ105" s="192"/>
      <c r="AR105" s="89" t="s">
        <v>102</v>
      </c>
      <c r="AS105" s="192"/>
      <c r="AT105" s="192"/>
      <c r="AU105" s="192"/>
      <c r="AV105" s="192"/>
      <c r="AW105" s="192"/>
      <c r="AX105" s="192"/>
      <c r="AY105" s="192"/>
      <c r="AZ105" s="192"/>
      <c r="BA105" s="192"/>
      <c r="BB105" s="197">
        <v>44817.0</v>
      </c>
      <c r="BC105" s="197">
        <v>44817.0</v>
      </c>
      <c r="BD105" s="197">
        <v>44817.0</v>
      </c>
      <c r="BE105" s="197">
        <v>44817.0</v>
      </c>
      <c r="BF105" s="197">
        <v>44817.0</v>
      </c>
      <c r="BG105" s="192"/>
      <c r="BH105" s="192"/>
      <c r="BI105" s="192"/>
    </row>
    <row r="106" ht="15.75" customHeight="1">
      <c r="A106" s="190" t="s">
        <v>425</v>
      </c>
      <c r="B106" s="191" t="s">
        <v>63</v>
      </c>
      <c r="C106" s="198" t="s">
        <v>460</v>
      </c>
      <c r="D106" s="192"/>
      <c r="E106" s="192" t="s">
        <v>461</v>
      </c>
      <c r="F106" s="193" t="s">
        <v>462</v>
      </c>
      <c r="G106" s="192"/>
      <c r="H106" s="192"/>
      <c r="I106" s="192"/>
      <c r="J106" s="192" t="s">
        <v>429</v>
      </c>
      <c r="K106" s="192" t="s">
        <v>69</v>
      </c>
      <c r="L106" s="194"/>
      <c r="M106" s="195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6"/>
      <c r="Y106" s="62">
        <f t="shared" si="54"/>
        <v>0</v>
      </c>
      <c r="Z106" s="64" t="str">
        <f t="shared" si="55"/>
        <v>#DIV/0!</v>
      </c>
      <c r="AA106" s="190"/>
      <c r="AB106" s="190"/>
      <c r="AC106" s="190"/>
      <c r="AD106" s="190"/>
      <c r="AE106" s="190"/>
      <c r="AF106" s="86" t="str">
        <f t="shared" si="56"/>
        <v>#REF!</v>
      </c>
      <c r="AG106" s="68" t="str">
        <f t="shared" si="57"/>
        <v>#NUM!</v>
      </c>
      <c r="AH106" s="190"/>
      <c r="AI106" s="68">
        <f t="shared" ref="AI106:AI109" si="61">AA106*0.2</f>
        <v>0</v>
      </c>
      <c r="AJ106" s="68" t="str">
        <f t="shared" ref="AJ106:AJ109" si="62">AG106*0.025</f>
        <v>#NUM!</v>
      </c>
      <c r="AK106" s="68" t="str">
        <f t="shared" ref="AK106:AK109" si="63">0.03*AG106</f>
        <v>#NUM!</v>
      </c>
      <c r="AL106" s="192"/>
      <c r="AM106" s="193"/>
      <c r="AN106" s="58"/>
      <c r="AO106" s="58"/>
      <c r="AP106" s="192" t="s">
        <v>88</v>
      </c>
      <c r="AQ106" s="199" t="s">
        <v>63</v>
      </c>
      <c r="AR106" s="89" t="s">
        <v>102</v>
      </c>
      <c r="AS106" s="192"/>
      <c r="AT106" s="192"/>
      <c r="AU106" s="192"/>
      <c r="AV106" s="192"/>
      <c r="AW106" s="192"/>
      <c r="AX106" s="192"/>
      <c r="AY106" s="192"/>
      <c r="AZ106" s="192"/>
      <c r="BA106" s="192"/>
      <c r="BB106" s="197">
        <v>44817.0</v>
      </c>
      <c r="BC106" s="197">
        <v>44817.0</v>
      </c>
      <c r="BD106" s="197">
        <v>44817.0</v>
      </c>
      <c r="BE106" s="197">
        <v>44817.0</v>
      </c>
      <c r="BF106" s="197">
        <v>44817.0</v>
      </c>
      <c r="BG106" s="192"/>
      <c r="BH106" s="192"/>
      <c r="BI106" s="192"/>
    </row>
    <row r="107" ht="15.75" customHeight="1">
      <c r="A107" s="190" t="s">
        <v>425</v>
      </c>
      <c r="B107" s="191" t="s">
        <v>63</v>
      </c>
      <c r="C107" s="169" t="s">
        <v>463</v>
      </c>
      <c r="D107" s="192"/>
      <c r="E107" s="192" t="s">
        <v>464</v>
      </c>
      <c r="F107" s="193" t="s">
        <v>462</v>
      </c>
      <c r="G107" s="192"/>
      <c r="H107" s="192"/>
      <c r="I107" s="192"/>
      <c r="J107" s="192" t="s">
        <v>429</v>
      </c>
      <c r="K107" s="192" t="s">
        <v>69</v>
      </c>
      <c r="L107" s="194"/>
      <c r="M107" s="195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6"/>
      <c r="Y107" s="62">
        <f t="shared" si="54"/>
        <v>0</v>
      </c>
      <c r="Z107" s="64" t="str">
        <f t="shared" si="55"/>
        <v>#DIV/0!</v>
      </c>
      <c r="AA107" s="190"/>
      <c r="AB107" s="190"/>
      <c r="AC107" s="190"/>
      <c r="AD107" s="190"/>
      <c r="AE107" s="190"/>
      <c r="AF107" s="86" t="str">
        <f t="shared" si="56"/>
        <v>#REF!</v>
      </c>
      <c r="AG107" s="68" t="str">
        <f t="shared" si="57"/>
        <v>#NUM!</v>
      </c>
      <c r="AH107" s="190"/>
      <c r="AI107" s="68">
        <f t="shared" si="61"/>
        <v>0</v>
      </c>
      <c r="AJ107" s="68" t="str">
        <f t="shared" si="62"/>
        <v>#NUM!</v>
      </c>
      <c r="AK107" s="68" t="str">
        <f t="shared" si="63"/>
        <v>#NUM!</v>
      </c>
      <c r="AL107" s="192"/>
      <c r="AM107" s="193"/>
      <c r="AN107" s="58"/>
      <c r="AO107" s="58"/>
      <c r="AP107" s="192"/>
      <c r="AQ107" s="192"/>
      <c r="AR107" s="89" t="s">
        <v>102</v>
      </c>
      <c r="AS107" s="192"/>
      <c r="AT107" s="192"/>
      <c r="AU107" s="192"/>
      <c r="AV107" s="192"/>
      <c r="AW107" s="192"/>
      <c r="AX107" s="192"/>
      <c r="AY107" s="192"/>
      <c r="AZ107" s="192"/>
      <c r="BA107" s="192"/>
      <c r="BB107" s="197">
        <v>44817.0</v>
      </c>
      <c r="BC107" s="197">
        <v>44817.0</v>
      </c>
      <c r="BD107" s="197">
        <v>44817.0</v>
      </c>
      <c r="BE107" s="197">
        <v>44817.0</v>
      </c>
      <c r="BF107" s="197">
        <v>44817.0</v>
      </c>
      <c r="BG107" s="192"/>
      <c r="BH107" s="192"/>
      <c r="BI107" s="192"/>
    </row>
    <row r="108" ht="15.75" customHeight="1">
      <c r="A108" s="190" t="s">
        <v>425</v>
      </c>
      <c r="B108" s="191" t="s">
        <v>63</v>
      </c>
      <c r="C108" s="169" t="s">
        <v>465</v>
      </c>
      <c r="D108" s="192"/>
      <c r="E108" s="192" t="s">
        <v>461</v>
      </c>
      <c r="F108" s="193" t="s">
        <v>462</v>
      </c>
      <c r="G108" s="192"/>
      <c r="H108" s="192" t="s">
        <v>347</v>
      </c>
      <c r="I108" s="192"/>
      <c r="J108" s="192" t="s">
        <v>429</v>
      </c>
      <c r="K108" s="192" t="s">
        <v>69</v>
      </c>
      <c r="L108" s="194"/>
      <c r="M108" s="195">
        <v>4.0</v>
      </c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6"/>
      <c r="Y108" s="62">
        <f t="shared" si="54"/>
        <v>0</v>
      </c>
      <c r="Z108" s="64" t="str">
        <f t="shared" si="55"/>
        <v>#DIV/0!</v>
      </c>
      <c r="AA108" s="190"/>
      <c r="AB108" s="190"/>
      <c r="AC108" s="190"/>
      <c r="AD108" s="190"/>
      <c r="AE108" s="190"/>
      <c r="AF108" s="86" t="str">
        <f t="shared" si="56"/>
        <v>#REF!</v>
      </c>
      <c r="AG108" s="68" t="str">
        <f t="shared" si="57"/>
        <v>#NUM!</v>
      </c>
      <c r="AH108" s="190"/>
      <c r="AI108" s="68">
        <f t="shared" si="61"/>
        <v>0</v>
      </c>
      <c r="AJ108" s="68" t="str">
        <f t="shared" si="62"/>
        <v>#NUM!</v>
      </c>
      <c r="AK108" s="68" t="str">
        <f t="shared" si="63"/>
        <v>#NUM!</v>
      </c>
      <c r="AL108" s="192" t="s">
        <v>466</v>
      </c>
      <c r="AM108" s="193">
        <v>2013.0</v>
      </c>
      <c r="AN108" s="58"/>
      <c r="AO108" s="58">
        <f>AM108+6</f>
        <v>2019</v>
      </c>
      <c r="AP108" s="192"/>
      <c r="AQ108" s="192"/>
      <c r="AR108" s="89" t="s">
        <v>121</v>
      </c>
      <c r="AS108" s="192"/>
      <c r="AT108" s="192"/>
      <c r="AU108" s="192"/>
      <c r="AV108" s="192"/>
      <c r="AW108" s="192"/>
      <c r="AX108" s="192"/>
      <c r="AY108" s="192"/>
      <c r="AZ108" s="192"/>
      <c r="BA108" s="192"/>
      <c r="BB108" s="197">
        <v>44817.0</v>
      </c>
      <c r="BC108" s="197">
        <v>44817.0</v>
      </c>
      <c r="BD108" s="197">
        <v>44817.0</v>
      </c>
      <c r="BE108" s="197">
        <v>44817.0</v>
      </c>
      <c r="BF108" s="197">
        <v>44817.0</v>
      </c>
      <c r="BG108" s="192"/>
      <c r="BH108" s="192"/>
      <c r="BI108" s="192" t="s">
        <v>129</v>
      </c>
    </row>
    <row r="109" ht="15.75" customHeight="1">
      <c r="A109" s="190" t="s">
        <v>425</v>
      </c>
      <c r="B109" s="191" t="s">
        <v>63</v>
      </c>
      <c r="C109" s="198" t="s">
        <v>467</v>
      </c>
      <c r="D109" s="192"/>
      <c r="E109" s="192" t="s">
        <v>468</v>
      </c>
      <c r="F109" s="193" t="s">
        <v>469</v>
      </c>
      <c r="G109" s="192"/>
      <c r="H109" s="192"/>
      <c r="I109" s="192"/>
      <c r="J109" s="192" t="s">
        <v>429</v>
      </c>
      <c r="K109" s="192" t="s">
        <v>69</v>
      </c>
      <c r="L109" s="194"/>
      <c r="M109" s="195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6"/>
      <c r="Y109" s="62">
        <f t="shared" si="54"/>
        <v>0</v>
      </c>
      <c r="Z109" s="64" t="str">
        <f t="shared" si="55"/>
        <v>#DIV/0!</v>
      </c>
      <c r="AA109" s="190"/>
      <c r="AB109" s="190"/>
      <c r="AC109" s="190"/>
      <c r="AD109" s="190"/>
      <c r="AE109" s="190"/>
      <c r="AF109" s="86" t="str">
        <f t="shared" si="56"/>
        <v>#REF!</v>
      </c>
      <c r="AG109" s="68" t="str">
        <f t="shared" si="57"/>
        <v>#NUM!</v>
      </c>
      <c r="AH109" s="190"/>
      <c r="AI109" s="68">
        <f t="shared" si="61"/>
        <v>0</v>
      </c>
      <c r="AJ109" s="68" t="str">
        <f t="shared" si="62"/>
        <v>#NUM!</v>
      </c>
      <c r="AK109" s="68" t="str">
        <f t="shared" si="63"/>
        <v>#NUM!</v>
      </c>
      <c r="AL109" s="192"/>
      <c r="AM109" s="193"/>
      <c r="AN109" s="58"/>
      <c r="AO109" s="58"/>
      <c r="AP109" s="89"/>
      <c r="AQ109" s="192"/>
      <c r="AR109" s="89" t="s">
        <v>102</v>
      </c>
      <c r="AS109" s="192"/>
      <c r="AT109" s="192"/>
      <c r="AU109" s="192"/>
      <c r="AV109" s="192"/>
      <c r="AW109" s="192"/>
      <c r="AX109" s="192"/>
      <c r="AY109" s="192"/>
      <c r="AZ109" s="192"/>
      <c r="BA109" s="192"/>
      <c r="BB109" s="197">
        <v>44817.0</v>
      </c>
      <c r="BC109" s="197">
        <v>44817.0</v>
      </c>
      <c r="BD109" s="197">
        <v>44817.0</v>
      </c>
      <c r="BE109" s="197">
        <v>44817.0</v>
      </c>
      <c r="BF109" s="197">
        <v>44817.0</v>
      </c>
      <c r="BG109" s="192"/>
      <c r="BH109" s="192"/>
      <c r="BI109" s="192"/>
    </row>
    <row r="110" ht="15.75" customHeight="1">
      <c r="A110" s="190" t="s">
        <v>425</v>
      </c>
      <c r="B110" s="191" t="s">
        <v>63</v>
      </c>
      <c r="C110" s="198" t="s">
        <v>470</v>
      </c>
      <c r="D110" s="192" t="s">
        <v>65</v>
      </c>
      <c r="E110" s="192" t="s">
        <v>468</v>
      </c>
      <c r="F110" s="193" t="s">
        <v>469</v>
      </c>
      <c r="G110" s="192" t="s">
        <v>471</v>
      </c>
      <c r="H110" s="192" t="s">
        <v>347</v>
      </c>
      <c r="I110" s="192" t="s">
        <v>74</v>
      </c>
      <c r="J110" s="192" t="s">
        <v>348</v>
      </c>
      <c r="K110" s="192" t="s">
        <v>69</v>
      </c>
      <c r="L110" s="194">
        <v>6.0</v>
      </c>
      <c r="M110" s="195">
        <v>6.0</v>
      </c>
      <c r="N110" s="190">
        <v>2015.0</v>
      </c>
      <c r="O110" s="200" t="s">
        <v>472</v>
      </c>
      <c r="P110" s="201" t="s">
        <v>473</v>
      </c>
      <c r="Q110" s="190" t="s">
        <v>85</v>
      </c>
      <c r="R110" s="190" t="s">
        <v>86</v>
      </c>
      <c r="S110" s="190">
        <v>22.0</v>
      </c>
      <c r="T110" s="190">
        <v>0.0</v>
      </c>
      <c r="U110" s="190"/>
      <c r="V110" s="190">
        <v>18.0</v>
      </c>
      <c r="W110" s="190">
        <v>4.0</v>
      </c>
      <c r="X110" s="196">
        <v>0.0</v>
      </c>
      <c r="Y110" s="62">
        <f t="shared" si="54"/>
        <v>22</v>
      </c>
      <c r="Z110" s="64">
        <f t="shared" si="55"/>
        <v>1</v>
      </c>
      <c r="AA110" s="190" t="s">
        <v>370</v>
      </c>
      <c r="AB110" s="190" t="s">
        <v>370</v>
      </c>
      <c r="AC110" s="190" t="s">
        <v>370</v>
      </c>
      <c r="AD110" s="190" t="s">
        <v>370</v>
      </c>
      <c r="AE110" s="190" t="s">
        <v>370</v>
      </c>
      <c r="AF110" s="86" t="str">
        <f t="shared" si="56"/>
        <v>#REF!</v>
      </c>
      <c r="AG110" s="68" t="s">
        <v>370</v>
      </c>
      <c r="AH110" s="190" t="s">
        <v>370</v>
      </c>
      <c r="AI110" s="68" t="s">
        <v>371</v>
      </c>
      <c r="AJ110" s="68" t="s">
        <v>370</v>
      </c>
      <c r="AK110" s="68" t="s">
        <v>370</v>
      </c>
      <c r="AL110" s="199" t="s">
        <v>474</v>
      </c>
      <c r="AM110" s="193">
        <v>2021.0</v>
      </c>
      <c r="AN110" s="59" t="s">
        <v>155</v>
      </c>
      <c r="AO110" s="58">
        <f t="shared" ref="AO110:AO116" si="64">AM110+6</f>
        <v>2027</v>
      </c>
      <c r="AP110" s="89" t="s">
        <v>88</v>
      </c>
      <c r="AQ110" s="199" t="s">
        <v>63</v>
      </c>
      <c r="AR110" s="89" t="s">
        <v>121</v>
      </c>
      <c r="AS110" s="192"/>
      <c r="AT110" s="192"/>
      <c r="AU110" s="192"/>
      <c r="AV110" s="192"/>
      <c r="AW110" s="192"/>
      <c r="AX110" s="192"/>
      <c r="AY110" s="192"/>
      <c r="AZ110" s="192"/>
      <c r="BA110" s="192"/>
      <c r="BB110" s="197">
        <v>44817.0</v>
      </c>
      <c r="BC110" s="197">
        <v>44817.0</v>
      </c>
      <c r="BD110" s="197">
        <v>44817.0</v>
      </c>
      <c r="BE110" s="197">
        <v>44817.0</v>
      </c>
      <c r="BF110" s="197">
        <v>44817.0</v>
      </c>
      <c r="BG110" s="192"/>
      <c r="BH110" s="192"/>
      <c r="BI110" s="192" t="s">
        <v>129</v>
      </c>
    </row>
    <row r="111" ht="15.75" customHeight="1">
      <c r="A111" s="190" t="s">
        <v>425</v>
      </c>
      <c r="B111" s="191" t="s">
        <v>63</v>
      </c>
      <c r="C111" s="198" t="s">
        <v>475</v>
      </c>
      <c r="D111" s="192"/>
      <c r="E111" s="192" t="s">
        <v>476</v>
      </c>
      <c r="F111" s="193" t="s">
        <v>477</v>
      </c>
      <c r="G111" s="192"/>
      <c r="H111" s="192" t="s">
        <v>347</v>
      </c>
      <c r="I111" s="192"/>
      <c r="J111" s="192" t="s">
        <v>429</v>
      </c>
      <c r="K111" s="192" t="s">
        <v>69</v>
      </c>
      <c r="L111" s="194"/>
      <c r="M111" s="195">
        <v>3.0</v>
      </c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6"/>
      <c r="Y111" s="62">
        <f t="shared" si="54"/>
        <v>0</v>
      </c>
      <c r="Z111" s="64" t="str">
        <f t="shared" si="55"/>
        <v>#DIV/0!</v>
      </c>
      <c r="AA111" s="190"/>
      <c r="AB111" s="190"/>
      <c r="AC111" s="190"/>
      <c r="AD111" s="190"/>
      <c r="AE111" s="190"/>
      <c r="AF111" s="86" t="str">
        <f t="shared" si="56"/>
        <v>#REF!</v>
      </c>
      <c r="AG111" s="68" t="str">
        <f t="shared" ref="AG111:AG116" si="65">LARGE(AS111:BA111,1)*((AA111*AB111)+(AC111*AD111)+(AE111*AF111))</f>
        <v>#NUM!</v>
      </c>
      <c r="AH111" s="190"/>
      <c r="AI111" s="68">
        <f t="shared" ref="AI111:AI116" si="66">AA111*0.2</f>
        <v>0</v>
      </c>
      <c r="AJ111" s="68" t="str">
        <f t="shared" ref="AJ111:AJ116" si="67">AG111*0.025</f>
        <v>#NUM!</v>
      </c>
      <c r="AK111" s="68" t="str">
        <f t="shared" ref="AK111:AK116" si="68">0.03*AG111</f>
        <v>#NUM!</v>
      </c>
      <c r="AL111" s="192" t="s">
        <v>478</v>
      </c>
      <c r="AM111" s="193">
        <v>2013.0</v>
      </c>
      <c r="AN111" s="58"/>
      <c r="AO111" s="58">
        <f t="shared" si="64"/>
        <v>2019</v>
      </c>
      <c r="AP111" s="192" t="s">
        <v>88</v>
      </c>
      <c r="AQ111" s="199" t="s">
        <v>63</v>
      </c>
      <c r="AR111" s="89" t="s">
        <v>121</v>
      </c>
      <c r="AS111" s="192"/>
      <c r="AT111" s="192"/>
      <c r="AU111" s="192"/>
      <c r="AV111" s="192"/>
      <c r="AW111" s="192"/>
      <c r="AX111" s="192"/>
      <c r="AY111" s="192"/>
      <c r="AZ111" s="192"/>
      <c r="BA111" s="192"/>
      <c r="BB111" s="197">
        <v>44817.0</v>
      </c>
      <c r="BC111" s="197">
        <v>44817.0</v>
      </c>
      <c r="BD111" s="197">
        <v>44817.0</v>
      </c>
      <c r="BE111" s="197">
        <v>44817.0</v>
      </c>
      <c r="BF111" s="197">
        <v>44817.0</v>
      </c>
      <c r="BG111" s="192"/>
      <c r="BH111" s="192"/>
      <c r="BI111" s="192" t="s">
        <v>129</v>
      </c>
    </row>
    <row r="112" ht="15.75" customHeight="1">
      <c r="A112" s="190" t="s">
        <v>425</v>
      </c>
      <c r="B112" s="191" t="s">
        <v>63</v>
      </c>
      <c r="C112" s="169" t="s">
        <v>479</v>
      </c>
      <c r="D112" s="192"/>
      <c r="E112" s="192" t="s">
        <v>480</v>
      </c>
      <c r="F112" s="193" t="s">
        <v>481</v>
      </c>
      <c r="G112" s="192"/>
      <c r="H112" s="192" t="s">
        <v>347</v>
      </c>
      <c r="I112" s="192"/>
      <c r="J112" s="192" t="s">
        <v>348</v>
      </c>
      <c r="K112" s="192" t="s">
        <v>69</v>
      </c>
      <c r="L112" s="194"/>
      <c r="M112" s="195">
        <v>20.0</v>
      </c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6"/>
      <c r="Y112" s="62">
        <f t="shared" si="54"/>
        <v>0</v>
      </c>
      <c r="Z112" s="64" t="str">
        <f t="shared" si="55"/>
        <v>#DIV/0!</v>
      </c>
      <c r="AA112" s="190"/>
      <c r="AB112" s="190"/>
      <c r="AC112" s="190"/>
      <c r="AD112" s="190"/>
      <c r="AE112" s="190"/>
      <c r="AF112" s="86" t="str">
        <f t="shared" si="56"/>
        <v>#REF!</v>
      </c>
      <c r="AG112" s="68" t="str">
        <f t="shared" si="65"/>
        <v>#NUM!</v>
      </c>
      <c r="AH112" s="190"/>
      <c r="AI112" s="68">
        <f t="shared" si="66"/>
        <v>0</v>
      </c>
      <c r="AJ112" s="68" t="str">
        <f t="shared" si="67"/>
        <v>#NUM!</v>
      </c>
      <c r="AK112" s="68" t="str">
        <f t="shared" si="68"/>
        <v>#NUM!</v>
      </c>
      <c r="AL112" s="192" t="s">
        <v>482</v>
      </c>
      <c r="AM112" s="193">
        <v>2015.0</v>
      </c>
      <c r="AN112" s="58"/>
      <c r="AO112" s="58">
        <f t="shared" si="64"/>
        <v>2021</v>
      </c>
      <c r="AP112" s="192"/>
      <c r="AQ112" s="192"/>
      <c r="AR112" s="89" t="s">
        <v>121</v>
      </c>
      <c r="AS112" s="192"/>
      <c r="AT112" s="192"/>
      <c r="AU112" s="192"/>
      <c r="AV112" s="192"/>
      <c r="AW112" s="192"/>
      <c r="AX112" s="192"/>
      <c r="AY112" s="192"/>
      <c r="AZ112" s="192"/>
      <c r="BA112" s="192"/>
      <c r="BB112" s="197">
        <v>44817.0</v>
      </c>
      <c r="BC112" s="197">
        <v>44817.0</v>
      </c>
      <c r="BD112" s="197">
        <v>44817.0</v>
      </c>
      <c r="BE112" s="197">
        <v>44817.0</v>
      </c>
      <c r="BF112" s="197">
        <v>44817.0</v>
      </c>
      <c r="BG112" s="192"/>
      <c r="BH112" s="192"/>
      <c r="BI112" s="192" t="s">
        <v>129</v>
      </c>
    </row>
    <row r="113" ht="15.75" customHeight="1">
      <c r="A113" s="190" t="s">
        <v>425</v>
      </c>
      <c r="B113" s="191" t="s">
        <v>63</v>
      </c>
      <c r="C113" s="198" t="s">
        <v>483</v>
      </c>
      <c r="D113" s="192"/>
      <c r="E113" s="192" t="s">
        <v>484</v>
      </c>
      <c r="F113" s="192"/>
      <c r="G113" s="192"/>
      <c r="H113" s="192" t="s">
        <v>485</v>
      </c>
      <c r="I113" s="192"/>
      <c r="J113" s="192" t="s">
        <v>68</v>
      </c>
      <c r="K113" s="192" t="s">
        <v>69</v>
      </c>
      <c r="L113" s="194"/>
      <c r="M113" s="195">
        <v>45.0</v>
      </c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6"/>
      <c r="Y113" s="62">
        <f t="shared" si="54"/>
        <v>0</v>
      </c>
      <c r="Z113" s="64" t="str">
        <f t="shared" si="55"/>
        <v>#DIV/0!</v>
      </c>
      <c r="AA113" s="190"/>
      <c r="AB113" s="190"/>
      <c r="AC113" s="190"/>
      <c r="AD113" s="190"/>
      <c r="AE113" s="190"/>
      <c r="AF113" s="86" t="str">
        <f t="shared" si="56"/>
        <v>#REF!</v>
      </c>
      <c r="AG113" s="68" t="str">
        <f t="shared" si="65"/>
        <v>#NUM!</v>
      </c>
      <c r="AH113" s="190"/>
      <c r="AI113" s="68">
        <f t="shared" si="66"/>
        <v>0</v>
      </c>
      <c r="AJ113" s="68" t="str">
        <f t="shared" si="67"/>
        <v>#NUM!</v>
      </c>
      <c r="AK113" s="68" t="str">
        <f t="shared" si="68"/>
        <v>#NUM!</v>
      </c>
      <c r="AL113" s="192" t="s">
        <v>486</v>
      </c>
      <c r="AM113" s="193">
        <v>2017.0</v>
      </c>
      <c r="AN113" s="58"/>
      <c r="AO113" s="58">
        <f t="shared" si="64"/>
        <v>2023</v>
      </c>
      <c r="AP113" s="192"/>
      <c r="AQ113" s="192"/>
      <c r="AR113" s="102" t="s">
        <v>121</v>
      </c>
      <c r="AS113" s="192"/>
      <c r="AT113" s="192"/>
      <c r="AU113" s="192"/>
      <c r="AV113" s="192"/>
      <c r="AW113" s="192"/>
      <c r="AX113" s="192"/>
      <c r="AY113" s="192"/>
      <c r="AZ113" s="192"/>
      <c r="BA113" s="192"/>
      <c r="BB113" s="197">
        <v>44817.0</v>
      </c>
      <c r="BC113" s="197">
        <v>44817.0</v>
      </c>
      <c r="BD113" s="197">
        <v>44817.0</v>
      </c>
      <c r="BE113" s="197">
        <v>44817.0</v>
      </c>
      <c r="BF113" s="197">
        <v>44817.0</v>
      </c>
      <c r="BG113" s="192"/>
      <c r="BH113" s="192"/>
      <c r="BI113" s="192" t="s">
        <v>129</v>
      </c>
    </row>
    <row r="114" ht="15.75" customHeight="1">
      <c r="A114" s="190" t="s">
        <v>425</v>
      </c>
      <c r="B114" s="191" t="s">
        <v>63</v>
      </c>
      <c r="C114" s="198" t="s">
        <v>487</v>
      </c>
      <c r="D114" s="192"/>
      <c r="E114" s="192" t="s">
        <v>488</v>
      </c>
      <c r="F114" s="192"/>
      <c r="G114" s="192"/>
      <c r="H114" s="192" t="s">
        <v>489</v>
      </c>
      <c r="I114" s="192"/>
      <c r="J114" s="192" t="s">
        <v>68</v>
      </c>
      <c r="K114" s="192" t="s">
        <v>69</v>
      </c>
      <c r="L114" s="194"/>
      <c r="M114" s="195">
        <v>45.0</v>
      </c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6"/>
      <c r="Y114" s="62">
        <f t="shared" si="54"/>
        <v>0</v>
      </c>
      <c r="Z114" s="64" t="str">
        <f t="shared" si="55"/>
        <v>#DIV/0!</v>
      </c>
      <c r="AA114" s="190"/>
      <c r="AB114" s="190"/>
      <c r="AC114" s="190"/>
      <c r="AD114" s="190"/>
      <c r="AE114" s="190"/>
      <c r="AF114" s="86" t="str">
        <f t="shared" si="56"/>
        <v>#REF!</v>
      </c>
      <c r="AG114" s="68" t="str">
        <f t="shared" si="65"/>
        <v>#NUM!</v>
      </c>
      <c r="AH114" s="190"/>
      <c r="AI114" s="68">
        <f t="shared" si="66"/>
        <v>0</v>
      </c>
      <c r="AJ114" s="68" t="str">
        <f t="shared" si="67"/>
        <v>#NUM!</v>
      </c>
      <c r="AK114" s="68" t="str">
        <f t="shared" si="68"/>
        <v>#NUM!</v>
      </c>
      <c r="AL114" s="192" t="s">
        <v>490</v>
      </c>
      <c r="AM114" s="193">
        <v>2011.0</v>
      </c>
      <c r="AN114" s="58"/>
      <c r="AO114" s="58">
        <f t="shared" si="64"/>
        <v>2017</v>
      </c>
      <c r="AP114" s="192"/>
      <c r="AQ114" s="192"/>
      <c r="AR114" s="102" t="s">
        <v>121</v>
      </c>
      <c r="AS114" s="192"/>
      <c r="AT114" s="192"/>
      <c r="AU114" s="192"/>
      <c r="AV114" s="192"/>
      <c r="AW114" s="192"/>
      <c r="AX114" s="192"/>
      <c r="AY114" s="192"/>
      <c r="AZ114" s="192"/>
      <c r="BA114" s="192"/>
      <c r="BB114" s="197">
        <v>44817.0</v>
      </c>
      <c r="BC114" s="197">
        <v>44817.0</v>
      </c>
      <c r="BD114" s="197">
        <v>44817.0</v>
      </c>
      <c r="BE114" s="197">
        <v>44817.0</v>
      </c>
      <c r="BF114" s="197">
        <v>44817.0</v>
      </c>
      <c r="BG114" s="192"/>
      <c r="BH114" s="192"/>
      <c r="BI114" s="192" t="s">
        <v>129</v>
      </c>
    </row>
    <row r="115" ht="15.75" customHeight="1">
      <c r="A115" s="190" t="s">
        <v>425</v>
      </c>
      <c r="B115" s="191" t="s">
        <v>63</v>
      </c>
      <c r="C115" s="198" t="s">
        <v>491</v>
      </c>
      <c r="D115" s="192"/>
      <c r="E115" s="192" t="s">
        <v>492</v>
      </c>
      <c r="F115" s="193" t="s">
        <v>493</v>
      </c>
      <c r="G115" s="192"/>
      <c r="H115" s="192">
        <v>390.0</v>
      </c>
      <c r="I115" s="192"/>
      <c r="J115" s="192" t="s">
        <v>68</v>
      </c>
      <c r="K115" s="192" t="s">
        <v>69</v>
      </c>
      <c r="L115" s="194"/>
      <c r="M115" s="195">
        <v>45.0</v>
      </c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6"/>
      <c r="Y115" s="62">
        <f t="shared" si="54"/>
        <v>0</v>
      </c>
      <c r="Z115" s="64" t="str">
        <f t="shared" si="55"/>
        <v>#DIV/0!</v>
      </c>
      <c r="AA115" s="190"/>
      <c r="AB115" s="190"/>
      <c r="AC115" s="190"/>
      <c r="AD115" s="190"/>
      <c r="AE115" s="190"/>
      <c r="AF115" s="86" t="str">
        <f t="shared" si="56"/>
        <v>#REF!</v>
      </c>
      <c r="AG115" s="68" t="str">
        <f t="shared" si="65"/>
        <v>#NUM!</v>
      </c>
      <c r="AH115" s="190"/>
      <c r="AI115" s="68">
        <f t="shared" si="66"/>
        <v>0</v>
      </c>
      <c r="AJ115" s="68" t="str">
        <f t="shared" si="67"/>
        <v>#NUM!</v>
      </c>
      <c r="AK115" s="68" t="str">
        <f t="shared" si="68"/>
        <v>#NUM!</v>
      </c>
      <c r="AL115" s="192" t="s">
        <v>494</v>
      </c>
      <c r="AM115" s="193">
        <v>2016.0</v>
      </c>
      <c r="AN115" s="58"/>
      <c r="AO115" s="58">
        <f t="shared" si="64"/>
        <v>2022</v>
      </c>
      <c r="AP115" s="192"/>
      <c r="AQ115" s="192"/>
      <c r="AR115" s="89" t="s">
        <v>102</v>
      </c>
      <c r="AS115" s="192"/>
      <c r="AT115" s="192"/>
      <c r="AU115" s="192"/>
      <c r="AV115" s="192"/>
      <c r="AW115" s="192"/>
      <c r="AX115" s="192"/>
      <c r="AY115" s="192"/>
      <c r="AZ115" s="192"/>
      <c r="BA115" s="192"/>
      <c r="BB115" s="197">
        <v>44817.0</v>
      </c>
      <c r="BC115" s="197">
        <v>44817.0</v>
      </c>
      <c r="BD115" s="197">
        <v>44817.0</v>
      </c>
      <c r="BE115" s="197">
        <v>44817.0</v>
      </c>
      <c r="BF115" s="197">
        <v>44817.0</v>
      </c>
      <c r="BG115" s="192"/>
      <c r="BH115" s="192"/>
      <c r="BI115" s="192" t="s">
        <v>129</v>
      </c>
    </row>
    <row r="116" ht="15.75" customHeight="1">
      <c r="A116" s="190" t="s">
        <v>425</v>
      </c>
      <c r="B116" s="191" t="s">
        <v>63</v>
      </c>
      <c r="C116" s="198" t="s">
        <v>495</v>
      </c>
      <c r="D116" s="192"/>
      <c r="E116" s="192" t="s">
        <v>496</v>
      </c>
      <c r="F116" s="192"/>
      <c r="G116" s="192"/>
      <c r="H116" s="192">
        <v>560.0</v>
      </c>
      <c r="I116" s="192"/>
      <c r="J116" s="192" t="s">
        <v>68</v>
      </c>
      <c r="K116" s="192" t="s">
        <v>69</v>
      </c>
      <c r="L116" s="194"/>
      <c r="M116" s="195">
        <v>45.0</v>
      </c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6"/>
      <c r="Y116" s="62">
        <f t="shared" si="54"/>
        <v>0</v>
      </c>
      <c r="Z116" s="64" t="str">
        <f t="shared" si="55"/>
        <v>#DIV/0!</v>
      </c>
      <c r="AA116" s="190"/>
      <c r="AB116" s="190"/>
      <c r="AC116" s="190"/>
      <c r="AD116" s="190"/>
      <c r="AE116" s="190"/>
      <c r="AF116" s="86" t="str">
        <f t="shared" si="56"/>
        <v>#REF!</v>
      </c>
      <c r="AG116" s="68" t="str">
        <f t="shared" si="65"/>
        <v>#NUM!</v>
      </c>
      <c r="AH116" s="190"/>
      <c r="AI116" s="68">
        <f t="shared" si="66"/>
        <v>0</v>
      </c>
      <c r="AJ116" s="68" t="str">
        <f t="shared" si="67"/>
        <v>#NUM!</v>
      </c>
      <c r="AK116" s="68" t="str">
        <f t="shared" si="68"/>
        <v>#NUM!</v>
      </c>
      <c r="AL116" s="192" t="s">
        <v>497</v>
      </c>
      <c r="AM116" s="193">
        <v>2018.0</v>
      </c>
      <c r="AN116" s="58"/>
      <c r="AO116" s="58">
        <f t="shared" si="64"/>
        <v>2024</v>
      </c>
      <c r="AP116" s="192"/>
      <c r="AQ116" s="192"/>
      <c r="AR116" s="102" t="s">
        <v>102</v>
      </c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7">
        <v>44817.0</v>
      </c>
      <c r="BC116" s="197">
        <v>44817.0</v>
      </c>
      <c r="BD116" s="197">
        <v>44817.0</v>
      </c>
      <c r="BE116" s="197">
        <v>44817.0</v>
      </c>
      <c r="BF116" s="197">
        <v>44817.0</v>
      </c>
      <c r="BG116" s="192"/>
      <c r="BH116" s="192"/>
      <c r="BI116" s="192" t="s">
        <v>129</v>
      </c>
    </row>
    <row r="117" ht="15.75" customHeight="1">
      <c r="A117" s="190" t="s">
        <v>425</v>
      </c>
      <c r="B117" s="191" t="s">
        <v>63</v>
      </c>
      <c r="C117" s="198" t="s">
        <v>498</v>
      </c>
      <c r="D117" s="192" t="s">
        <v>65</v>
      </c>
      <c r="E117" s="192" t="s">
        <v>480</v>
      </c>
      <c r="F117" s="192" t="s">
        <v>499</v>
      </c>
      <c r="G117" s="192" t="s">
        <v>500</v>
      </c>
      <c r="H117" s="192" t="s">
        <v>501</v>
      </c>
      <c r="I117" s="192" t="s">
        <v>74</v>
      </c>
      <c r="J117" s="192" t="s">
        <v>429</v>
      </c>
      <c r="K117" s="192" t="s">
        <v>69</v>
      </c>
      <c r="L117" s="194">
        <v>20.0</v>
      </c>
      <c r="M117" s="195">
        <v>20.0</v>
      </c>
      <c r="N117" s="190">
        <v>2015.0</v>
      </c>
      <c r="O117" s="200" t="s">
        <v>502</v>
      </c>
      <c r="P117" s="191" t="s">
        <v>503</v>
      </c>
      <c r="Q117" s="190" t="s">
        <v>85</v>
      </c>
      <c r="R117" s="190" t="s">
        <v>86</v>
      </c>
      <c r="S117" s="190">
        <v>6.0</v>
      </c>
      <c r="T117" s="190">
        <v>8.0</v>
      </c>
      <c r="U117" s="190">
        <v>1.0</v>
      </c>
      <c r="V117" s="190">
        <v>7.0</v>
      </c>
      <c r="W117" s="190">
        <v>6.0</v>
      </c>
      <c r="X117" s="196">
        <v>0.0</v>
      </c>
      <c r="Y117" s="62">
        <f t="shared" si="54"/>
        <v>14</v>
      </c>
      <c r="Z117" s="64">
        <f t="shared" si="55"/>
        <v>0.4285714286</v>
      </c>
      <c r="AA117" s="190" t="s">
        <v>370</v>
      </c>
      <c r="AB117" s="190" t="s">
        <v>370</v>
      </c>
      <c r="AC117" s="190" t="s">
        <v>370</v>
      </c>
      <c r="AD117" s="190" t="s">
        <v>370</v>
      </c>
      <c r="AE117" s="190" t="s">
        <v>370</v>
      </c>
      <c r="AF117" s="86" t="s">
        <v>370</v>
      </c>
      <c r="AG117" s="68" t="s">
        <v>371</v>
      </c>
      <c r="AH117" s="190" t="s">
        <v>370</v>
      </c>
      <c r="AI117" s="68" t="s">
        <v>370</v>
      </c>
      <c r="AJ117" s="68" t="s">
        <v>370</v>
      </c>
      <c r="AK117" s="68" t="s">
        <v>370</v>
      </c>
      <c r="AL117" s="202" t="s">
        <v>504</v>
      </c>
      <c r="AM117" s="193">
        <v>2022.0</v>
      </c>
      <c r="AN117" s="59" t="s">
        <v>155</v>
      </c>
      <c r="AO117" s="58">
        <v>2028.0</v>
      </c>
      <c r="AP117" s="192" t="s">
        <v>156</v>
      </c>
      <c r="AQ117" s="192"/>
      <c r="AR117" s="102" t="s">
        <v>102</v>
      </c>
      <c r="AS117" s="192"/>
      <c r="AT117" s="192"/>
      <c r="AU117" s="192"/>
      <c r="AV117" s="192"/>
      <c r="AW117" s="192"/>
      <c r="AX117" s="192"/>
      <c r="AY117" s="192"/>
      <c r="AZ117" s="192"/>
      <c r="BA117" s="192"/>
      <c r="BB117" s="197"/>
      <c r="BC117" s="197"/>
      <c r="BD117" s="197"/>
      <c r="BE117" s="197"/>
      <c r="BF117" s="197"/>
      <c r="BG117" s="192"/>
      <c r="BH117" s="192"/>
      <c r="BI117" s="192"/>
    </row>
    <row r="118" ht="15.75" customHeight="1">
      <c r="A118" s="190" t="s">
        <v>425</v>
      </c>
      <c r="B118" s="191" t="s">
        <v>63</v>
      </c>
      <c r="C118" s="198" t="s">
        <v>505</v>
      </c>
      <c r="D118" s="192" t="s">
        <v>65</v>
      </c>
      <c r="E118" s="192" t="s">
        <v>506</v>
      </c>
      <c r="F118" s="192"/>
      <c r="G118" s="192"/>
      <c r="H118" s="192">
        <v>1060.0</v>
      </c>
      <c r="I118" s="192" t="s">
        <v>67</v>
      </c>
      <c r="J118" s="192" t="s">
        <v>68</v>
      </c>
      <c r="K118" s="192" t="s">
        <v>69</v>
      </c>
      <c r="L118" s="194">
        <v>12.0</v>
      </c>
      <c r="M118" s="195">
        <v>12.0</v>
      </c>
      <c r="N118" s="190"/>
      <c r="O118" s="200"/>
      <c r="P118" s="190"/>
      <c r="Q118" s="190"/>
      <c r="R118" s="190"/>
      <c r="S118" s="190"/>
      <c r="T118" s="190"/>
      <c r="U118" s="190"/>
      <c r="V118" s="190"/>
      <c r="W118" s="190"/>
      <c r="X118" s="196"/>
      <c r="Y118" s="62"/>
      <c r="Z118" s="64"/>
      <c r="AA118" s="190"/>
      <c r="AB118" s="190"/>
      <c r="AC118" s="190"/>
      <c r="AD118" s="190"/>
      <c r="AE118" s="190"/>
      <c r="AF118" s="86"/>
      <c r="AG118" s="68"/>
      <c r="AH118" s="190"/>
      <c r="AI118" s="68"/>
      <c r="AJ118" s="68"/>
      <c r="AK118" s="68"/>
      <c r="AL118" s="192"/>
      <c r="AM118" s="193"/>
      <c r="AN118" s="59"/>
      <c r="AO118" s="58"/>
      <c r="AP118" s="192"/>
      <c r="AQ118" s="192"/>
      <c r="AR118" s="102"/>
      <c r="AS118" s="192"/>
      <c r="AT118" s="192"/>
      <c r="AU118" s="192"/>
      <c r="AV118" s="192"/>
      <c r="AW118" s="192"/>
      <c r="AX118" s="192"/>
      <c r="AY118" s="192"/>
      <c r="AZ118" s="192"/>
      <c r="BA118" s="192"/>
      <c r="BB118" s="197"/>
      <c r="BC118" s="197"/>
      <c r="BD118" s="197"/>
      <c r="BE118" s="197"/>
      <c r="BF118" s="197"/>
      <c r="BG118" s="192"/>
      <c r="BH118" s="192"/>
      <c r="BI118" s="192"/>
    </row>
    <row r="119" ht="15.75" customHeight="1">
      <c r="A119" s="190"/>
      <c r="B119" s="190"/>
      <c r="C119" s="198"/>
      <c r="D119" s="192"/>
      <c r="E119" s="192"/>
      <c r="F119" s="192"/>
      <c r="G119" s="192"/>
      <c r="H119" s="192"/>
      <c r="I119" s="192"/>
      <c r="J119" s="192"/>
      <c r="K119" s="192"/>
      <c r="L119" s="194"/>
      <c r="M119" s="195"/>
      <c r="N119" s="190"/>
      <c r="O119" s="200"/>
      <c r="P119" s="190"/>
      <c r="Q119" s="190"/>
      <c r="R119" s="190"/>
      <c r="S119" s="190"/>
      <c r="T119" s="190"/>
      <c r="U119" s="190"/>
      <c r="V119" s="190"/>
      <c r="W119" s="190"/>
      <c r="X119" s="196"/>
      <c r="Y119" s="62"/>
      <c r="Z119" s="64"/>
      <c r="AA119" s="190"/>
      <c r="AB119" s="190"/>
      <c r="AC119" s="190"/>
      <c r="AD119" s="190"/>
      <c r="AE119" s="190"/>
      <c r="AF119" s="86"/>
      <c r="AG119" s="68"/>
      <c r="AH119" s="190"/>
      <c r="AI119" s="68"/>
      <c r="AJ119" s="68"/>
      <c r="AK119" s="68"/>
      <c r="AL119" s="192"/>
      <c r="AM119" s="193"/>
      <c r="AN119" s="59"/>
      <c r="AO119" s="58"/>
      <c r="AP119" s="192"/>
      <c r="AQ119" s="192"/>
      <c r="AR119" s="102"/>
      <c r="AS119" s="192"/>
      <c r="AT119" s="192"/>
      <c r="AU119" s="192"/>
      <c r="AV119" s="192"/>
      <c r="AW119" s="192"/>
      <c r="AX119" s="192"/>
      <c r="AY119" s="192"/>
      <c r="AZ119" s="192"/>
      <c r="BA119" s="192"/>
      <c r="BB119" s="197"/>
      <c r="BC119" s="197"/>
      <c r="BD119" s="197"/>
      <c r="BE119" s="197"/>
      <c r="BF119" s="197"/>
      <c r="BG119" s="192"/>
      <c r="BH119" s="192"/>
      <c r="BI119" s="192"/>
    </row>
    <row r="120" ht="15.75" customHeight="1">
      <c r="A120" s="203" t="s">
        <v>507</v>
      </c>
      <c r="B120" s="204" t="s">
        <v>63</v>
      </c>
      <c r="C120" s="169" t="s">
        <v>508</v>
      </c>
      <c r="D120" s="205" t="s">
        <v>65</v>
      </c>
      <c r="E120" s="205" t="s">
        <v>509</v>
      </c>
      <c r="F120" s="206" t="s">
        <v>510</v>
      </c>
      <c r="G120" s="205"/>
      <c r="H120" s="205" t="s">
        <v>511</v>
      </c>
      <c r="I120" s="205"/>
      <c r="J120" s="205" t="s">
        <v>429</v>
      </c>
      <c r="K120" s="205" t="s">
        <v>69</v>
      </c>
      <c r="L120" s="207"/>
      <c r="M120" s="208">
        <v>2.0</v>
      </c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9"/>
      <c r="Y120" s="62">
        <f t="shared" ref="Y120:Y122" si="69">SUM(S120:W120)</f>
        <v>0</v>
      </c>
      <c r="Z120" s="64" t="str">
        <f t="shared" ref="Z120:Z123" si="70">S120/Y120</f>
        <v>#DIV/0!</v>
      </c>
      <c r="AA120" s="203"/>
      <c r="AB120" s="203"/>
      <c r="AC120" s="203"/>
      <c r="AD120" s="203"/>
      <c r="AE120" s="203"/>
      <c r="AF120" s="86" t="str">
        <f t="shared" ref="AF120:AF123" si="71">DATEDIF(#REF!,#REF!,"M")+1</f>
        <v>#REF!</v>
      </c>
      <c r="AG120" s="68" t="str">
        <f t="shared" ref="AG120:AG122" si="72">LARGE(AS120:BA120,1)*((AA120*AB120)+(AC120*AD120)+(AE120*AF120))</f>
        <v>#NUM!</v>
      </c>
      <c r="AH120" s="203"/>
      <c r="AI120" s="68">
        <f t="shared" ref="AI120:AI122" si="73">AA120*0.2</f>
        <v>0</v>
      </c>
      <c r="AJ120" s="68" t="str">
        <f t="shared" ref="AJ120:AJ122" si="74">AG120*0.025</f>
        <v>#NUM!</v>
      </c>
      <c r="AK120" s="68" t="str">
        <f t="shared" ref="AK120:AK122" si="75">0.03*AG120</f>
        <v>#NUM!</v>
      </c>
      <c r="AL120" s="205" t="s">
        <v>512</v>
      </c>
      <c r="AM120" s="206">
        <v>2019.0</v>
      </c>
      <c r="AN120" s="58"/>
      <c r="AO120" s="58">
        <f t="shared" ref="AO120:AO123" si="76">AM120+6</f>
        <v>2025</v>
      </c>
      <c r="AP120" s="205"/>
      <c r="AQ120" s="205"/>
      <c r="AR120" s="89" t="s">
        <v>102</v>
      </c>
      <c r="AS120" s="205"/>
      <c r="AT120" s="205"/>
      <c r="AU120" s="205"/>
      <c r="AV120" s="205"/>
      <c r="AW120" s="210"/>
      <c r="AX120" s="210"/>
      <c r="AY120" s="210"/>
      <c r="AZ120" s="210"/>
      <c r="BA120" s="210"/>
      <c r="BB120" s="211">
        <v>44817.0</v>
      </c>
      <c r="BC120" s="211">
        <v>44817.0</v>
      </c>
      <c r="BD120" s="211">
        <v>44817.0</v>
      </c>
      <c r="BE120" s="211">
        <v>44817.0</v>
      </c>
      <c r="BF120" s="211">
        <v>44817.0</v>
      </c>
      <c r="BG120" s="210" t="s">
        <v>513</v>
      </c>
      <c r="BH120" s="210" t="s">
        <v>514</v>
      </c>
      <c r="BI120" s="212" t="s">
        <v>63</v>
      </c>
    </row>
    <row r="121" ht="15.75" customHeight="1">
      <c r="A121" s="203" t="s">
        <v>507</v>
      </c>
      <c r="B121" s="204" t="s">
        <v>63</v>
      </c>
      <c r="C121" s="169" t="s">
        <v>515</v>
      </c>
      <c r="D121" s="205" t="s">
        <v>65</v>
      </c>
      <c r="E121" s="205" t="s">
        <v>516</v>
      </c>
      <c r="F121" s="206" t="s">
        <v>517</v>
      </c>
      <c r="G121" s="205"/>
      <c r="H121" s="205" t="s">
        <v>511</v>
      </c>
      <c r="I121" s="205"/>
      <c r="J121" s="205" t="s">
        <v>429</v>
      </c>
      <c r="K121" s="205" t="s">
        <v>69</v>
      </c>
      <c r="L121" s="207"/>
      <c r="M121" s="208">
        <v>3.0</v>
      </c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9"/>
      <c r="Y121" s="62">
        <f t="shared" si="69"/>
        <v>0</v>
      </c>
      <c r="Z121" s="64" t="str">
        <f t="shared" si="70"/>
        <v>#DIV/0!</v>
      </c>
      <c r="AA121" s="203"/>
      <c r="AB121" s="203"/>
      <c r="AC121" s="203"/>
      <c r="AD121" s="203"/>
      <c r="AE121" s="203"/>
      <c r="AF121" s="86" t="str">
        <f t="shared" si="71"/>
        <v>#REF!</v>
      </c>
      <c r="AG121" s="68" t="str">
        <f t="shared" si="72"/>
        <v>#NUM!</v>
      </c>
      <c r="AH121" s="203"/>
      <c r="AI121" s="68">
        <f t="shared" si="73"/>
        <v>0</v>
      </c>
      <c r="AJ121" s="68" t="str">
        <f t="shared" si="74"/>
        <v>#NUM!</v>
      </c>
      <c r="AK121" s="68" t="str">
        <f t="shared" si="75"/>
        <v>#NUM!</v>
      </c>
      <c r="AL121" s="205" t="s">
        <v>518</v>
      </c>
      <c r="AM121" s="206">
        <v>2019.0</v>
      </c>
      <c r="AN121" s="58"/>
      <c r="AO121" s="58">
        <f t="shared" si="76"/>
        <v>2025</v>
      </c>
      <c r="AP121" s="205"/>
      <c r="AQ121" s="205"/>
      <c r="AR121" s="89" t="s">
        <v>102</v>
      </c>
      <c r="AS121" s="205"/>
      <c r="AT121" s="205"/>
      <c r="AU121" s="205"/>
      <c r="AV121" s="205"/>
      <c r="AW121" s="210"/>
      <c r="AX121" s="210"/>
      <c r="AY121" s="210"/>
      <c r="AZ121" s="210"/>
      <c r="BA121" s="210"/>
      <c r="BB121" s="211">
        <v>44817.0</v>
      </c>
      <c r="BC121" s="211">
        <v>44817.0</v>
      </c>
      <c r="BD121" s="211">
        <v>44817.0</v>
      </c>
      <c r="BE121" s="211">
        <v>44817.0</v>
      </c>
      <c r="BF121" s="211">
        <v>44817.0</v>
      </c>
      <c r="BG121" s="210" t="s">
        <v>513</v>
      </c>
      <c r="BH121" s="210" t="s">
        <v>514</v>
      </c>
      <c r="BI121" s="210" t="s">
        <v>129</v>
      </c>
    </row>
    <row r="122" ht="15.75" customHeight="1">
      <c r="A122" s="203" t="s">
        <v>507</v>
      </c>
      <c r="B122" s="204" t="s">
        <v>63</v>
      </c>
      <c r="C122" s="213" t="s">
        <v>519</v>
      </c>
      <c r="D122" s="205" t="s">
        <v>65</v>
      </c>
      <c r="E122" s="205" t="s">
        <v>520</v>
      </c>
      <c r="F122" s="206" t="s">
        <v>521</v>
      </c>
      <c r="G122" s="205"/>
      <c r="H122" s="205" t="s">
        <v>511</v>
      </c>
      <c r="I122" s="205"/>
      <c r="J122" s="205" t="s">
        <v>429</v>
      </c>
      <c r="K122" s="205" t="s">
        <v>69</v>
      </c>
      <c r="L122" s="207"/>
      <c r="M122" s="208">
        <v>2.0</v>
      </c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9"/>
      <c r="Y122" s="62">
        <f t="shared" si="69"/>
        <v>0</v>
      </c>
      <c r="Z122" s="64" t="str">
        <f t="shared" si="70"/>
        <v>#DIV/0!</v>
      </c>
      <c r="AA122" s="203"/>
      <c r="AB122" s="203"/>
      <c r="AC122" s="203"/>
      <c r="AD122" s="203"/>
      <c r="AE122" s="203"/>
      <c r="AF122" s="86" t="str">
        <f t="shared" si="71"/>
        <v>#REF!</v>
      </c>
      <c r="AG122" s="68" t="str">
        <f t="shared" si="72"/>
        <v>#NUM!</v>
      </c>
      <c r="AH122" s="203"/>
      <c r="AI122" s="68">
        <f t="shared" si="73"/>
        <v>0</v>
      </c>
      <c r="AJ122" s="68" t="str">
        <f t="shared" si="74"/>
        <v>#NUM!</v>
      </c>
      <c r="AK122" s="68" t="str">
        <f t="shared" si="75"/>
        <v>#NUM!</v>
      </c>
      <c r="AL122" s="205" t="s">
        <v>522</v>
      </c>
      <c r="AM122" s="206">
        <v>2019.0</v>
      </c>
      <c r="AN122" s="58"/>
      <c r="AO122" s="58">
        <f t="shared" si="76"/>
        <v>2025</v>
      </c>
      <c r="AP122" s="205" t="s">
        <v>88</v>
      </c>
      <c r="AQ122" s="214" t="s">
        <v>63</v>
      </c>
      <c r="AR122" s="89" t="s">
        <v>102</v>
      </c>
      <c r="AS122" s="205"/>
      <c r="AT122" s="205"/>
      <c r="AU122" s="205"/>
      <c r="AV122" s="205"/>
      <c r="AW122" s="210"/>
      <c r="AX122" s="210"/>
      <c r="AY122" s="210"/>
      <c r="AZ122" s="210"/>
      <c r="BA122" s="210"/>
      <c r="BB122" s="211">
        <v>44817.0</v>
      </c>
      <c r="BC122" s="211">
        <v>44817.0</v>
      </c>
      <c r="BD122" s="211">
        <v>44817.0</v>
      </c>
      <c r="BE122" s="211">
        <v>44817.0</v>
      </c>
      <c r="BF122" s="211">
        <v>44817.0</v>
      </c>
      <c r="BG122" s="210" t="s">
        <v>513</v>
      </c>
      <c r="BH122" s="210" t="s">
        <v>514</v>
      </c>
      <c r="BI122" s="210" t="s">
        <v>129</v>
      </c>
    </row>
    <row r="123" ht="15.75" customHeight="1">
      <c r="A123" s="203" t="s">
        <v>507</v>
      </c>
      <c r="B123" s="204" t="s">
        <v>63</v>
      </c>
      <c r="C123" s="213" t="s">
        <v>523</v>
      </c>
      <c r="D123" s="205" t="s">
        <v>65</v>
      </c>
      <c r="E123" s="205" t="s">
        <v>524</v>
      </c>
      <c r="F123" s="206" t="s">
        <v>525</v>
      </c>
      <c r="G123" s="205" t="s">
        <v>526</v>
      </c>
      <c r="H123" s="205" t="s">
        <v>511</v>
      </c>
      <c r="I123" s="205" t="s">
        <v>74</v>
      </c>
      <c r="J123" s="205" t="s">
        <v>429</v>
      </c>
      <c r="K123" s="205" t="s">
        <v>69</v>
      </c>
      <c r="L123" s="207">
        <v>2.0</v>
      </c>
      <c r="M123" s="208">
        <v>2.0</v>
      </c>
      <c r="N123" s="203">
        <v>2015.0</v>
      </c>
      <c r="O123" s="215" t="s">
        <v>527</v>
      </c>
      <c r="P123" s="216" t="s">
        <v>528</v>
      </c>
      <c r="Q123" s="203" t="s">
        <v>85</v>
      </c>
      <c r="R123" s="203" t="s">
        <v>529</v>
      </c>
      <c r="S123" s="203">
        <v>6.0</v>
      </c>
      <c r="T123" s="203">
        <v>4.0</v>
      </c>
      <c r="U123" s="203"/>
      <c r="V123" s="203">
        <v>7.0</v>
      </c>
      <c r="W123" s="203">
        <v>1.0</v>
      </c>
      <c r="X123" s="209">
        <v>2.0</v>
      </c>
      <c r="Y123" s="62">
        <f>SUM(S123:T123)</f>
        <v>10</v>
      </c>
      <c r="Z123" s="64">
        <f t="shared" si="70"/>
        <v>0.6</v>
      </c>
      <c r="AA123" s="203" t="s">
        <v>370</v>
      </c>
      <c r="AB123" s="203" t="s">
        <v>370</v>
      </c>
      <c r="AC123" s="203" t="s">
        <v>370</v>
      </c>
      <c r="AD123" s="203" t="s">
        <v>370</v>
      </c>
      <c r="AE123" s="203" t="s">
        <v>370</v>
      </c>
      <c r="AF123" s="86" t="str">
        <f t="shared" si="71"/>
        <v>#REF!</v>
      </c>
      <c r="AG123" s="68" t="s">
        <v>370</v>
      </c>
      <c r="AH123" s="203" t="s">
        <v>370</v>
      </c>
      <c r="AI123" s="68" t="s">
        <v>370</v>
      </c>
      <c r="AJ123" s="68" t="s">
        <v>370</v>
      </c>
      <c r="AK123" s="68" t="s">
        <v>370</v>
      </c>
      <c r="AL123" s="217" t="s">
        <v>530</v>
      </c>
      <c r="AM123" s="206">
        <v>2021.0</v>
      </c>
      <c r="AN123" s="59" t="s">
        <v>155</v>
      </c>
      <c r="AO123" s="58">
        <f t="shared" si="76"/>
        <v>2027</v>
      </c>
      <c r="AP123" s="205" t="s">
        <v>88</v>
      </c>
      <c r="AQ123" s="214" t="s">
        <v>63</v>
      </c>
      <c r="AR123" s="89" t="s">
        <v>102</v>
      </c>
      <c r="AS123" s="205"/>
      <c r="AT123" s="205"/>
      <c r="AU123" s="205"/>
      <c r="AV123" s="205"/>
      <c r="AW123" s="210"/>
      <c r="AX123" s="210"/>
      <c r="AY123" s="210"/>
      <c r="AZ123" s="210"/>
      <c r="BA123" s="210"/>
      <c r="BB123" s="211">
        <v>44817.0</v>
      </c>
      <c r="BC123" s="211">
        <v>44817.0</v>
      </c>
      <c r="BD123" s="211">
        <v>44817.0</v>
      </c>
      <c r="BE123" s="211">
        <v>44817.0</v>
      </c>
      <c r="BF123" s="211">
        <v>44817.0</v>
      </c>
      <c r="BG123" s="210" t="s">
        <v>513</v>
      </c>
      <c r="BH123" s="210" t="s">
        <v>514</v>
      </c>
      <c r="BI123" s="210" t="s">
        <v>129</v>
      </c>
    </row>
    <row r="124" ht="15.75" customHeight="1">
      <c r="A124" s="203" t="s">
        <v>507</v>
      </c>
      <c r="B124" s="204" t="s">
        <v>63</v>
      </c>
      <c r="C124" s="169" t="s">
        <v>531</v>
      </c>
      <c r="D124" s="205" t="s">
        <v>65</v>
      </c>
      <c r="E124" s="205" t="s">
        <v>532</v>
      </c>
      <c r="F124" s="206"/>
      <c r="G124" s="205"/>
      <c r="H124" s="205" t="s">
        <v>533</v>
      </c>
      <c r="I124" s="205" t="s">
        <v>74</v>
      </c>
      <c r="J124" s="205"/>
      <c r="K124" s="205" t="s">
        <v>69</v>
      </c>
      <c r="L124" s="207"/>
      <c r="M124" s="208"/>
      <c r="N124" s="203"/>
      <c r="O124" s="203">
        <v>0.0</v>
      </c>
      <c r="P124" s="203"/>
      <c r="Q124" s="203"/>
      <c r="R124" s="203"/>
      <c r="S124" s="203"/>
      <c r="T124" s="203"/>
      <c r="U124" s="203"/>
      <c r="V124" s="203"/>
      <c r="W124" s="203"/>
      <c r="X124" s="209"/>
      <c r="Y124" s="62"/>
      <c r="Z124" s="64"/>
      <c r="AA124" s="203"/>
      <c r="AB124" s="203"/>
      <c r="AC124" s="203"/>
      <c r="AD124" s="203"/>
      <c r="AE124" s="203"/>
      <c r="AF124" s="86"/>
      <c r="AG124" s="68"/>
      <c r="AH124" s="203"/>
      <c r="AI124" s="68"/>
      <c r="AJ124" s="68"/>
      <c r="AK124" s="68"/>
      <c r="AL124" s="205"/>
      <c r="AM124" s="206">
        <v>2014.0</v>
      </c>
      <c r="AN124" s="58"/>
      <c r="AO124" s="58">
        <v>2020.0</v>
      </c>
      <c r="AP124" s="205"/>
      <c r="AQ124" s="205"/>
      <c r="AR124" s="89" t="s">
        <v>102</v>
      </c>
      <c r="AS124" s="205"/>
      <c r="AT124" s="205"/>
      <c r="AU124" s="205"/>
      <c r="AV124" s="205"/>
      <c r="AW124" s="210"/>
      <c r="AX124" s="210"/>
      <c r="AY124" s="210"/>
      <c r="AZ124" s="210"/>
      <c r="BA124" s="210"/>
      <c r="BB124" s="211"/>
      <c r="BC124" s="211"/>
      <c r="BD124" s="211"/>
      <c r="BE124" s="211"/>
      <c r="BF124" s="211"/>
      <c r="BG124" s="210"/>
      <c r="BH124" s="210"/>
      <c r="BI124" s="210"/>
    </row>
    <row r="125" ht="15.75" customHeight="1">
      <c r="A125" s="203" t="s">
        <v>507</v>
      </c>
      <c r="B125" s="204" t="s">
        <v>63</v>
      </c>
      <c r="C125" s="213" t="s">
        <v>534</v>
      </c>
      <c r="D125" s="205" t="s">
        <v>65</v>
      </c>
      <c r="E125" s="205" t="s">
        <v>535</v>
      </c>
      <c r="F125" s="206" t="s">
        <v>536</v>
      </c>
      <c r="G125" s="205" t="s">
        <v>537</v>
      </c>
      <c r="H125" s="205" t="s">
        <v>347</v>
      </c>
      <c r="I125" s="205" t="s">
        <v>74</v>
      </c>
      <c r="J125" s="205" t="s">
        <v>429</v>
      </c>
      <c r="K125" s="205" t="s">
        <v>69</v>
      </c>
      <c r="L125" s="207">
        <v>3.0</v>
      </c>
      <c r="M125" s="208">
        <v>3.0</v>
      </c>
      <c r="N125" s="203">
        <v>2016.0</v>
      </c>
      <c r="O125" s="215" t="s">
        <v>538</v>
      </c>
      <c r="P125" s="204" t="s">
        <v>539</v>
      </c>
      <c r="Q125" s="203" t="s">
        <v>85</v>
      </c>
      <c r="R125" s="203" t="s">
        <v>86</v>
      </c>
      <c r="S125" s="203">
        <v>8.0</v>
      </c>
      <c r="T125" s="203">
        <v>0.0</v>
      </c>
      <c r="U125" s="203"/>
      <c r="V125" s="203">
        <v>6.0</v>
      </c>
      <c r="W125" s="203">
        <v>1.0</v>
      </c>
      <c r="X125" s="209">
        <v>1.0</v>
      </c>
      <c r="Y125" s="62">
        <f>SUM(S125:T125)</f>
        <v>8</v>
      </c>
      <c r="Z125" s="64">
        <f t="shared" ref="Z125:Z141" si="77">S125/Y125</f>
        <v>1</v>
      </c>
      <c r="AA125" s="203" t="s">
        <v>370</v>
      </c>
      <c r="AB125" s="203" t="s">
        <v>370</v>
      </c>
      <c r="AC125" s="203" t="s">
        <v>370</v>
      </c>
      <c r="AD125" s="203" t="s">
        <v>370</v>
      </c>
      <c r="AE125" s="203" t="s">
        <v>370</v>
      </c>
      <c r="AF125" s="121" t="s">
        <v>370</v>
      </c>
      <c r="AG125" s="68" t="s">
        <v>370</v>
      </c>
      <c r="AH125" s="203" t="s">
        <v>370</v>
      </c>
      <c r="AI125" s="68" t="s">
        <v>370</v>
      </c>
      <c r="AJ125" s="68" t="s">
        <v>370</v>
      </c>
      <c r="AK125" s="68" t="s">
        <v>370</v>
      </c>
      <c r="AL125" s="214" t="s">
        <v>540</v>
      </c>
      <c r="AM125" s="206">
        <v>2023.0</v>
      </c>
      <c r="AN125" s="59" t="s">
        <v>155</v>
      </c>
      <c r="AO125" s="58">
        <f t="shared" ref="AO125:AO129" si="78">AM125+6</f>
        <v>2029</v>
      </c>
      <c r="AP125" s="205" t="s">
        <v>88</v>
      </c>
      <c r="AQ125" s="214" t="s">
        <v>63</v>
      </c>
      <c r="AR125" s="89" t="s">
        <v>102</v>
      </c>
      <c r="AS125" s="205"/>
      <c r="AT125" s="205"/>
      <c r="AU125" s="205"/>
      <c r="AV125" s="205"/>
      <c r="AW125" s="210"/>
      <c r="AX125" s="210"/>
      <c r="AY125" s="210"/>
      <c r="AZ125" s="210"/>
      <c r="BA125" s="210"/>
      <c r="BB125" s="211">
        <v>44817.0</v>
      </c>
      <c r="BC125" s="211">
        <v>44817.0</v>
      </c>
      <c r="BD125" s="211">
        <v>44817.0</v>
      </c>
      <c r="BE125" s="211">
        <v>44817.0</v>
      </c>
      <c r="BF125" s="211">
        <v>44817.0</v>
      </c>
      <c r="BG125" s="210" t="s">
        <v>513</v>
      </c>
      <c r="BH125" s="210" t="s">
        <v>514</v>
      </c>
      <c r="BI125" s="210" t="s">
        <v>129</v>
      </c>
    </row>
    <row r="126" ht="15.75" customHeight="1">
      <c r="A126" s="203" t="s">
        <v>507</v>
      </c>
      <c r="B126" s="204"/>
      <c r="C126" s="213" t="s">
        <v>541</v>
      </c>
      <c r="D126" s="205" t="s">
        <v>65</v>
      </c>
      <c r="E126" s="205" t="s">
        <v>509</v>
      </c>
      <c r="F126" s="206" t="s">
        <v>510</v>
      </c>
      <c r="G126" s="205"/>
      <c r="H126" s="205" t="s">
        <v>542</v>
      </c>
      <c r="I126" s="205"/>
      <c r="J126" s="205" t="s">
        <v>68</v>
      </c>
      <c r="K126" s="205" t="s">
        <v>69</v>
      </c>
      <c r="L126" s="207"/>
      <c r="M126" s="208">
        <v>3.0</v>
      </c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9"/>
      <c r="Y126" s="62">
        <f>SUM(S126:W126)</f>
        <v>0</v>
      </c>
      <c r="Z126" s="64" t="str">
        <f t="shared" si="77"/>
        <v>#DIV/0!</v>
      </c>
      <c r="AA126" s="203"/>
      <c r="AB126" s="203"/>
      <c r="AC126" s="203"/>
      <c r="AD126" s="203"/>
      <c r="AE126" s="203"/>
      <c r="AF126" s="86" t="str">
        <f>DATEDIF(#REF!,#REF!,"M")+1</f>
        <v>#REF!</v>
      </c>
      <c r="AG126" s="68" t="str">
        <f>LARGE(AS126:BA126,1)*((AA126*AB126)+(AC126*AD126)+(AE126*AF126))</f>
        <v>#NUM!</v>
      </c>
      <c r="AH126" s="203"/>
      <c r="AI126" s="68">
        <f>AA126*0.2</f>
        <v>0</v>
      </c>
      <c r="AJ126" s="68" t="str">
        <f>AG126*0.025</f>
        <v>#NUM!</v>
      </c>
      <c r="AK126" s="68" t="str">
        <f>0.03*AG126</f>
        <v>#NUM!</v>
      </c>
      <c r="AL126" s="205" t="s">
        <v>543</v>
      </c>
      <c r="AM126" s="206">
        <v>2019.0</v>
      </c>
      <c r="AN126" s="58"/>
      <c r="AO126" s="58">
        <f t="shared" si="78"/>
        <v>2025</v>
      </c>
      <c r="AP126" s="205"/>
      <c r="AQ126" s="205"/>
      <c r="AR126" s="89" t="s">
        <v>102</v>
      </c>
      <c r="AS126" s="205"/>
      <c r="AT126" s="205"/>
      <c r="AU126" s="205"/>
      <c r="AV126" s="205"/>
      <c r="AW126" s="210"/>
      <c r="AX126" s="210"/>
      <c r="AY126" s="210"/>
      <c r="AZ126" s="210"/>
      <c r="BA126" s="210"/>
      <c r="BB126" s="211">
        <v>44817.0</v>
      </c>
      <c r="BC126" s="211">
        <v>44817.0</v>
      </c>
      <c r="BD126" s="211">
        <v>44817.0</v>
      </c>
      <c r="BE126" s="211">
        <v>44817.0</v>
      </c>
      <c r="BF126" s="211">
        <v>44817.0</v>
      </c>
      <c r="BG126" s="210" t="s">
        <v>544</v>
      </c>
      <c r="BH126" s="218" t="s">
        <v>545</v>
      </c>
      <c r="BI126" s="219" t="s">
        <v>129</v>
      </c>
    </row>
    <row r="127" ht="15.75" customHeight="1">
      <c r="A127" s="203" t="s">
        <v>507</v>
      </c>
      <c r="B127" s="204" t="s">
        <v>63</v>
      </c>
      <c r="C127" s="213" t="s">
        <v>546</v>
      </c>
      <c r="D127" s="205" t="s">
        <v>65</v>
      </c>
      <c r="E127" s="205" t="s">
        <v>547</v>
      </c>
      <c r="F127" s="206" t="s">
        <v>548</v>
      </c>
      <c r="G127" s="205" t="s">
        <v>549</v>
      </c>
      <c r="H127" s="205" t="s">
        <v>550</v>
      </c>
      <c r="I127" s="205" t="s">
        <v>551</v>
      </c>
      <c r="J127" s="205" t="s">
        <v>68</v>
      </c>
      <c r="K127" s="205" t="s">
        <v>69</v>
      </c>
      <c r="L127" s="207">
        <v>10.0</v>
      </c>
      <c r="M127" s="208">
        <v>12.0</v>
      </c>
      <c r="N127" s="203">
        <v>2012.0</v>
      </c>
      <c r="O127" s="215" t="s">
        <v>552</v>
      </c>
      <c r="P127" s="204" t="s">
        <v>553</v>
      </c>
      <c r="Q127" s="203" t="s">
        <v>85</v>
      </c>
      <c r="R127" s="203" t="s">
        <v>218</v>
      </c>
      <c r="S127" s="203">
        <v>14.0</v>
      </c>
      <c r="T127" s="203">
        <v>1.0</v>
      </c>
      <c r="U127" s="203"/>
      <c r="V127" s="203">
        <v>15.0</v>
      </c>
      <c r="W127" s="203">
        <v>0.0</v>
      </c>
      <c r="X127" s="209">
        <v>0.0</v>
      </c>
      <c r="Y127" s="62">
        <f t="shared" ref="Y127:Y131" si="79">SUM(S127:T127)</f>
        <v>15</v>
      </c>
      <c r="Z127" s="64">
        <f t="shared" si="77"/>
        <v>0.9333333333</v>
      </c>
      <c r="AA127" s="220">
        <v>150.0</v>
      </c>
      <c r="AB127" s="203">
        <v>1.0</v>
      </c>
      <c r="AC127" s="220">
        <v>1300.0</v>
      </c>
      <c r="AD127" s="203">
        <v>1.0</v>
      </c>
      <c r="AE127" s="220">
        <v>1300.0</v>
      </c>
      <c r="AF127" s="86" t="s">
        <v>554</v>
      </c>
      <c r="AG127" s="68" t="s">
        <v>370</v>
      </c>
      <c r="AH127" s="220">
        <v>8158.4</v>
      </c>
      <c r="AI127" s="68">
        <v>3900.0</v>
      </c>
      <c r="AJ127" s="68">
        <v>390.0</v>
      </c>
      <c r="AK127" s="68">
        <v>468.0</v>
      </c>
      <c r="AL127" s="214" t="s">
        <v>555</v>
      </c>
      <c r="AM127" s="206">
        <v>2019.0</v>
      </c>
      <c r="AN127" s="59" t="s">
        <v>155</v>
      </c>
      <c r="AO127" s="58">
        <f t="shared" si="78"/>
        <v>2025</v>
      </c>
      <c r="AP127" s="210" t="s">
        <v>156</v>
      </c>
      <c r="AQ127" s="205"/>
      <c r="AR127" s="102" t="s">
        <v>121</v>
      </c>
      <c r="AS127" s="205"/>
      <c r="AT127" s="205"/>
      <c r="AU127" s="205"/>
      <c r="AV127" s="205"/>
      <c r="AW127" s="210"/>
      <c r="AX127" s="210"/>
      <c r="AY127" s="210"/>
      <c r="AZ127" s="210"/>
      <c r="BA127" s="210"/>
      <c r="BB127" s="211">
        <v>44817.0</v>
      </c>
      <c r="BC127" s="211">
        <v>44817.0</v>
      </c>
      <c r="BD127" s="211">
        <v>44817.0</v>
      </c>
      <c r="BE127" s="211">
        <v>44817.0</v>
      </c>
      <c r="BF127" s="211">
        <v>44817.0</v>
      </c>
      <c r="BG127" s="221"/>
      <c r="BH127" s="210"/>
      <c r="BI127" s="210" t="s">
        <v>129</v>
      </c>
    </row>
    <row r="128" ht="15.75" customHeight="1">
      <c r="A128" s="203" t="s">
        <v>507</v>
      </c>
      <c r="B128" s="204" t="s">
        <v>63</v>
      </c>
      <c r="C128" s="213" t="s">
        <v>556</v>
      </c>
      <c r="D128" s="205" t="s">
        <v>65</v>
      </c>
      <c r="E128" s="205" t="s">
        <v>557</v>
      </c>
      <c r="F128" s="205"/>
      <c r="G128" s="205"/>
      <c r="H128" s="205"/>
      <c r="I128" s="205"/>
      <c r="J128" s="205" t="s">
        <v>68</v>
      </c>
      <c r="K128" s="205" t="s">
        <v>69</v>
      </c>
      <c r="L128" s="207"/>
      <c r="M128" s="208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9"/>
      <c r="Y128" s="62">
        <f t="shared" si="79"/>
        <v>0</v>
      </c>
      <c r="Z128" s="64" t="str">
        <f t="shared" si="77"/>
        <v>#DIV/0!</v>
      </c>
      <c r="AA128" s="203"/>
      <c r="AB128" s="203"/>
      <c r="AC128" s="203"/>
      <c r="AD128" s="203"/>
      <c r="AE128" s="203"/>
      <c r="AF128" s="86" t="str">
        <f t="shared" ref="AF128:AF129" si="80">DATEDIF(#REF!,#REF!,"M")+1</f>
        <v>#REF!</v>
      </c>
      <c r="AG128" s="68" t="str">
        <f t="shared" ref="AG128:AG129" si="81">LARGE(AS128:BA128,1)*((AA128*AB128)+(AC128*AD128)+(AE128*AF128))</f>
        <v>#NUM!</v>
      </c>
      <c r="AH128" s="203"/>
      <c r="AI128" s="68">
        <f t="shared" ref="AI128:AI129" si="82">AA128*0.2</f>
        <v>0</v>
      </c>
      <c r="AJ128" s="68" t="str">
        <f t="shared" ref="AJ128:AJ129" si="83">AG128*0.025</f>
        <v>#NUM!</v>
      </c>
      <c r="AK128" s="68" t="str">
        <f t="shared" ref="AK128:AK129" si="84">0.03*AG128</f>
        <v>#NUM!</v>
      </c>
      <c r="AL128" s="205" t="s">
        <v>558</v>
      </c>
      <c r="AM128" s="206">
        <v>2013.0</v>
      </c>
      <c r="AN128" s="59"/>
      <c r="AO128" s="58">
        <f t="shared" si="78"/>
        <v>2019</v>
      </c>
      <c r="AP128" s="205"/>
      <c r="AQ128" s="205"/>
      <c r="AR128" s="102" t="s">
        <v>121</v>
      </c>
      <c r="AS128" s="205"/>
      <c r="AT128" s="205"/>
      <c r="AU128" s="205"/>
      <c r="AV128" s="205"/>
      <c r="AW128" s="210"/>
      <c r="AX128" s="210"/>
      <c r="AY128" s="210"/>
      <c r="AZ128" s="210"/>
      <c r="BA128" s="210"/>
      <c r="BB128" s="211">
        <v>44817.0</v>
      </c>
      <c r="BC128" s="211">
        <v>44817.0</v>
      </c>
      <c r="BD128" s="211">
        <v>44817.0</v>
      </c>
      <c r="BE128" s="211">
        <v>44817.0</v>
      </c>
      <c r="BF128" s="211">
        <v>44817.0</v>
      </c>
      <c r="BG128" s="221"/>
      <c r="BH128" s="210"/>
      <c r="BI128" s="210" t="s">
        <v>129</v>
      </c>
    </row>
    <row r="129" ht="15.75" customHeight="1">
      <c r="A129" s="203" t="s">
        <v>507</v>
      </c>
      <c r="B129" s="204" t="s">
        <v>63</v>
      </c>
      <c r="C129" s="213" t="s">
        <v>559</v>
      </c>
      <c r="D129" s="205" t="s">
        <v>65</v>
      </c>
      <c r="E129" s="205" t="s">
        <v>560</v>
      </c>
      <c r="F129" s="205"/>
      <c r="G129" s="205"/>
      <c r="H129" s="205"/>
      <c r="I129" s="205"/>
      <c r="J129" s="205" t="s">
        <v>68</v>
      </c>
      <c r="K129" s="205" t="s">
        <v>69</v>
      </c>
      <c r="L129" s="207"/>
      <c r="M129" s="208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9"/>
      <c r="Y129" s="62">
        <f t="shared" si="79"/>
        <v>0</v>
      </c>
      <c r="Z129" s="64" t="str">
        <f t="shared" si="77"/>
        <v>#DIV/0!</v>
      </c>
      <c r="AA129" s="203"/>
      <c r="AB129" s="203"/>
      <c r="AC129" s="203"/>
      <c r="AD129" s="203"/>
      <c r="AE129" s="203"/>
      <c r="AF129" s="86" t="str">
        <f t="shared" si="80"/>
        <v>#REF!</v>
      </c>
      <c r="AG129" s="68" t="str">
        <f t="shared" si="81"/>
        <v>#NUM!</v>
      </c>
      <c r="AH129" s="203"/>
      <c r="AI129" s="68">
        <f t="shared" si="82"/>
        <v>0</v>
      </c>
      <c r="AJ129" s="68" t="str">
        <f t="shared" si="83"/>
        <v>#NUM!</v>
      </c>
      <c r="AK129" s="68" t="str">
        <f t="shared" si="84"/>
        <v>#NUM!</v>
      </c>
      <c r="AL129" s="205" t="s">
        <v>561</v>
      </c>
      <c r="AM129" s="206">
        <v>2013.0</v>
      </c>
      <c r="AN129" s="59"/>
      <c r="AO129" s="58">
        <f t="shared" si="78"/>
        <v>2019</v>
      </c>
      <c r="AP129" s="205"/>
      <c r="AQ129" s="205"/>
      <c r="AR129" s="89" t="s">
        <v>121</v>
      </c>
      <c r="AS129" s="205"/>
      <c r="AT129" s="205"/>
      <c r="AU129" s="205"/>
      <c r="AV129" s="205"/>
      <c r="AW129" s="210"/>
      <c r="AX129" s="210"/>
      <c r="AY129" s="210"/>
      <c r="AZ129" s="210"/>
      <c r="BA129" s="210"/>
      <c r="BB129" s="211">
        <v>44817.0</v>
      </c>
      <c r="BC129" s="211">
        <v>44817.0</v>
      </c>
      <c r="BD129" s="211">
        <v>44817.0</v>
      </c>
      <c r="BE129" s="211">
        <v>44817.0</v>
      </c>
      <c r="BF129" s="211">
        <v>44817.0</v>
      </c>
      <c r="BG129" s="221"/>
      <c r="BH129" s="210"/>
      <c r="BI129" s="210" t="s">
        <v>129</v>
      </c>
    </row>
    <row r="130" ht="15.75" customHeight="1">
      <c r="A130" s="203" t="s">
        <v>507</v>
      </c>
      <c r="B130" s="204" t="s">
        <v>63</v>
      </c>
      <c r="C130" s="213" t="s">
        <v>562</v>
      </c>
      <c r="D130" s="205" t="s">
        <v>65</v>
      </c>
      <c r="E130" s="205" t="s">
        <v>535</v>
      </c>
      <c r="F130" s="206" t="s">
        <v>536</v>
      </c>
      <c r="G130" s="205" t="s">
        <v>537</v>
      </c>
      <c r="H130" s="205" t="s">
        <v>563</v>
      </c>
      <c r="I130" s="205" t="s">
        <v>67</v>
      </c>
      <c r="J130" s="205" t="s">
        <v>68</v>
      </c>
      <c r="K130" s="205" t="s">
        <v>564</v>
      </c>
      <c r="L130" s="207">
        <v>10.0</v>
      </c>
      <c r="M130" s="208">
        <v>24.0</v>
      </c>
      <c r="N130" s="203">
        <v>2022.0</v>
      </c>
      <c r="O130" s="215" t="s">
        <v>565</v>
      </c>
      <c r="P130" s="204" t="s">
        <v>539</v>
      </c>
      <c r="Q130" s="203" t="s">
        <v>85</v>
      </c>
      <c r="R130" s="203" t="s">
        <v>86</v>
      </c>
      <c r="S130" s="203">
        <v>4.0</v>
      </c>
      <c r="T130" s="203">
        <v>0.0</v>
      </c>
      <c r="U130" s="203"/>
      <c r="V130" s="203">
        <v>3.0</v>
      </c>
      <c r="W130" s="203">
        <v>1.0</v>
      </c>
      <c r="X130" s="209">
        <v>0.0</v>
      </c>
      <c r="Y130" s="62">
        <f t="shared" si="79"/>
        <v>4</v>
      </c>
      <c r="Z130" s="64">
        <f t="shared" si="77"/>
        <v>1</v>
      </c>
      <c r="AA130" s="203" t="s">
        <v>370</v>
      </c>
      <c r="AB130" s="203" t="s">
        <v>370</v>
      </c>
      <c r="AC130" s="203" t="s">
        <v>370</v>
      </c>
      <c r="AD130" s="203" t="s">
        <v>370</v>
      </c>
      <c r="AE130" s="203" t="s">
        <v>370</v>
      </c>
      <c r="AF130" s="86" t="s">
        <v>566</v>
      </c>
      <c r="AG130" s="68">
        <v>260000.0</v>
      </c>
      <c r="AH130" s="220">
        <v>207000.0</v>
      </c>
      <c r="AI130" s="68">
        <v>26000.0</v>
      </c>
      <c r="AJ130" s="68">
        <v>6500.0</v>
      </c>
      <c r="AK130" s="68">
        <v>7800.0</v>
      </c>
      <c r="AL130" s="214" t="s">
        <v>567</v>
      </c>
      <c r="AM130" s="206">
        <v>2022.0</v>
      </c>
      <c r="AN130" s="59" t="s">
        <v>155</v>
      </c>
      <c r="AO130" s="58">
        <v>2028.0</v>
      </c>
      <c r="AP130" s="210" t="s">
        <v>156</v>
      </c>
      <c r="AQ130" s="205"/>
      <c r="AR130" s="89" t="s">
        <v>102</v>
      </c>
      <c r="AS130" s="205"/>
      <c r="AT130" s="205"/>
      <c r="AU130" s="205"/>
      <c r="AV130" s="205"/>
      <c r="AW130" s="210"/>
      <c r="AX130" s="210"/>
      <c r="AY130" s="210"/>
      <c r="AZ130" s="210"/>
      <c r="BA130" s="210"/>
      <c r="BB130" s="211"/>
      <c r="BC130" s="211"/>
      <c r="BD130" s="211"/>
      <c r="BE130" s="211"/>
      <c r="BF130" s="211"/>
      <c r="BG130" s="221"/>
      <c r="BH130" s="210"/>
      <c r="BI130" s="210"/>
    </row>
    <row r="131" ht="15.75" customHeight="1">
      <c r="A131" s="222" t="s">
        <v>568</v>
      </c>
      <c r="B131" s="223" t="s">
        <v>63</v>
      </c>
      <c r="C131" s="224" t="s">
        <v>569</v>
      </c>
      <c r="D131" s="225" t="s">
        <v>65</v>
      </c>
      <c r="E131" s="225" t="s">
        <v>570</v>
      </c>
      <c r="F131" s="225" t="s">
        <v>571</v>
      </c>
      <c r="G131" s="225" t="s">
        <v>572</v>
      </c>
      <c r="H131" s="225" t="s">
        <v>573</v>
      </c>
      <c r="I131" s="225" t="s">
        <v>74</v>
      </c>
      <c r="J131" s="225" t="s">
        <v>68</v>
      </c>
      <c r="K131" s="225" t="s">
        <v>564</v>
      </c>
      <c r="L131" s="226">
        <v>40.0</v>
      </c>
      <c r="M131" s="227">
        <v>50.0</v>
      </c>
      <c r="N131" s="228">
        <v>2015.0</v>
      </c>
      <c r="O131" s="229" t="s">
        <v>574</v>
      </c>
      <c r="P131" s="230" t="s">
        <v>575</v>
      </c>
      <c r="Q131" s="228" t="s">
        <v>85</v>
      </c>
      <c r="R131" s="229" t="s">
        <v>576</v>
      </c>
      <c r="S131" s="228">
        <v>4.0</v>
      </c>
      <c r="T131" s="228">
        <v>6.0</v>
      </c>
      <c r="U131" s="228"/>
      <c r="V131" s="228">
        <v>4.0</v>
      </c>
      <c r="W131" s="228">
        <v>6.0</v>
      </c>
      <c r="X131" s="231">
        <v>0.0</v>
      </c>
      <c r="Y131" s="62">
        <f t="shared" si="79"/>
        <v>10</v>
      </c>
      <c r="Z131" s="64">
        <f t="shared" si="77"/>
        <v>0.4</v>
      </c>
      <c r="AA131" s="232">
        <v>100.0</v>
      </c>
      <c r="AB131" s="228">
        <v>1.0</v>
      </c>
      <c r="AC131" s="232">
        <v>260.0</v>
      </c>
      <c r="AD131" s="228">
        <v>1.0</v>
      </c>
      <c r="AE131" s="232">
        <v>260.0</v>
      </c>
      <c r="AF131" s="121" t="s">
        <v>100</v>
      </c>
      <c r="AG131" s="68" t="s">
        <v>577</v>
      </c>
      <c r="AH131" s="228">
        <v>116211.2</v>
      </c>
      <c r="AI131" s="68" t="s">
        <v>370</v>
      </c>
      <c r="AJ131" s="68">
        <v>5040.0</v>
      </c>
      <c r="AK131" s="68">
        <v>10080.0</v>
      </c>
      <c r="AL131" s="233" t="s">
        <v>578</v>
      </c>
      <c r="AM131" s="234">
        <v>2015.0</v>
      </c>
      <c r="AN131" s="59" t="s">
        <v>120</v>
      </c>
      <c r="AO131" s="58"/>
      <c r="AP131" s="102" t="s">
        <v>156</v>
      </c>
      <c r="AQ131" s="227"/>
      <c r="AR131" s="102" t="s">
        <v>121</v>
      </c>
      <c r="AS131" s="225"/>
      <c r="AT131" s="225"/>
      <c r="AU131" s="225"/>
      <c r="AV131" s="225"/>
      <c r="AW131" s="225"/>
      <c r="AX131" s="225"/>
      <c r="AY131" s="225"/>
      <c r="AZ131" s="225"/>
      <c r="BA131" s="225"/>
      <c r="BB131" s="235">
        <v>44817.0</v>
      </c>
      <c r="BC131" s="235">
        <v>44817.0</v>
      </c>
      <c r="BD131" s="235">
        <v>44817.0</v>
      </c>
      <c r="BE131" s="235">
        <v>44817.0</v>
      </c>
      <c r="BF131" s="235">
        <v>44817.0</v>
      </c>
      <c r="BG131" s="236"/>
      <c r="BH131" s="225"/>
      <c r="BI131" s="237" t="s">
        <v>63</v>
      </c>
    </row>
    <row r="132" ht="15.75" customHeight="1">
      <c r="A132" s="222" t="s">
        <v>568</v>
      </c>
      <c r="B132" s="223" t="s">
        <v>63</v>
      </c>
      <c r="C132" s="224" t="s">
        <v>579</v>
      </c>
      <c r="D132" s="225" t="s">
        <v>65</v>
      </c>
      <c r="E132" s="225" t="s">
        <v>580</v>
      </c>
      <c r="F132" s="225" t="s">
        <v>581</v>
      </c>
      <c r="G132" s="225"/>
      <c r="H132" s="225">
        <v>420.0</v>
      </c>
      <c r="I132" s="225"/>
      <c r="J132" s="225" t="s">
        <v>68</v>
      </c>
      <c r="K132" s="225" t="s">
        <v>69</v>
      </c>
      <c r="L132" s="226"/>
      <c r="M132" s="227"/>
      <c r="N132" s="228"/>
      <c r="O132" s="228"/>
      <c r="P132" s="228"/>
      <c r="Q132" s="228"/>
      <c r="R132" s="228"/>
      <c r="S132" s="228"/>
      <c r="T132" s="228"/>
      <c r="U132" s="228"/>
      <c r="V132" s="228"/>
      <c r="W132" s="228"/>
      <c r="X132" s="231"/>
      <c r="Y132" s="62">
        <f t="shared" ref="Y132:Y137" si="85">SUM(S132:W132)</f>
        <v>0</v>
      </c>
      <c r="Z132" s="64" t="str">
        <f t="shared" si="77"/>
        <v>#DIV/0!</v>
      </c>
      <c r="AA132" s="228"/>
      <c r="AB132" s="228"/>
      <c r="AC132" s="228"/>
      <c r="AD132" s="228"/>
      <c r="AE132" s="228"/>
      <c r="AF132" s="86" t="str">
        <f t="shared" ref="AF132:AF137" si="86">DATEDIF(#REF!,#REF!,"M")+1</f>
        <v>#REF!</v>
      </c>
      <c r="AG132" s="68" t="str">
        <f t="shared" ref="AG132:AG137" si="87">LARGE(AS132:BA132,1)*((AA132*AB132)+(AC132*AD132)+(AE132*AF132))</f>
        <v>#NUM!</v>
      </c>
      <c r="AH132" s="228"/>
      <c r="AI132" s="68">
        <f t="shared" ref="AI132:AI137" si="88">AA132*0.2</f>
        <v>0</v>
      </c>
      <c r="AJ132" s="68" t="str">
        <f t="shared" ref="AJ132:AJ140" si="89">AG132*0.025</f>
        <v>#NUM!</v>
      </c>
      <c r="AK132" s="68" t="str">
        <f t="shared" ref="AK132:AK137" si="90">0.03*AG132</f>
        <v>#NUM!</v>
      </c>
      <c r="AL132" s="225" t="s">
        <v>578</v>
      </c>
      <c r="AM132" s="234">
        <v>2015.0</v>
      </c>
      <c r="AN132" s="58"/>
      <c r="AO132" s="58">
        <f t="shared" ref="AO132:AO137" si="91">AM132+6</f>
        <v>2021</v>
      </c>
      <c r="AP132" s="102" t="s">
        <v>156</v>
      </c>
      <c r="AQ132" s="227"/>
      <c r="AR132" s="89" t="s">
        <v>121</v>
      </c>
      <c r="AS132" s="225"/>
      <c r="AT132" s="225"/>
      <c r="AU132" s="225"/>
      <c r="AV132" s="225"/>
      <c r="AW132" s="225"/>
      <c r="AX132" s="225"/>
      <c r="AY132" s="225"/>
      <c r="AZ132" s="225"/>
      <c r="BA132" s="225"/>
      <c r="BB132" s="235">
        <v>44817.0</v>
      </c>
      <c r="BC132" s="235">
        <v>44817.0</v>
      </c>
      <c r="BD132" s="235">
        <v>44817.0</v>
      </c>
      <c r="BE132" s="235">
        <v>44817.0</v>
      </c>
      <c r="BF132" s="235">
        <v>44817.0</v>
      </c>
      <c r="BG132" s="236"/>
      <c r="BH132" s="225"/>
      <c r="BI132" s="225" t="s">
        <v>129</v>
      </c>
    </row>
    <row r="133" ht="15.75" customHeight="1">
      <c r="A133" s="222" t="s">
        <v>568</v>
      </c>
      <c r="B133" s="223" t="s">
        <v>63</v>
      </c>
      <c r="C133" s="224" t="s">
        <v>582</v>
      </c>
      <c r="D133" s="225" t="s">
        <v>295</v>
      </c>
      <c r="E133" s="225" t="s">
        <v>583</v>
      </c>
      <c r="F133" s="225" t="s">
        <v>584</v>
      </c>
      <c r="G133" s="225"/>
      <c r="H133" s="225">
        <v>360.0</v>
      </c>
      <c r="I133" s="225"/>
      <c r="J133" s="225" t="s">
        <v>68</v>
      </c>
      <c r="K133" s="225" t="s">
        <v>69</v>
      </c>
      <c r="L133" s="226"/>
      <c r="M133" s="227"/>
      <c r="N133" s="228"/>
      <c r="O133" s="228"/>
      <c r="P133" s="228"/>
      <c r="Q133" s="228"/>
      <c r="R133" s="228"/>
      <c r="S133" s="228"/>
      <c r="T133" s="228"/>
      <c r="U133" s="228"/>
      <c r="V133" s="228"/>
      <c r="W133" s="228"/>
      <c r="X133" s="231"/>
      <c r="Y133" s="62">
        <f t="shared" si="85"/>
        <v>0</v>
      </c>
      <c r="Z133" s="64" t="str">
        <f t="shared" si="77"/>
        <v>#DIV/0!</v>
      </c>
      <c r="AA133" s="228"/>
      <c r="AB133" s="228"/>
      <c r="AC133" s="228"/>
      <c r="AD133" s="228"/>
      <c r="AE133" s="228"/>
      <c r="AF133" s="86" t="str">
        <f t="shared" si="86"/>
        <v>#REF!</v>
      </c>
      <c r="AG133" s="68" t="str">
        <f t="shared" si="87"/>
        <v>#NUM!</v>
      </c>
      <c r="AH133" s="228"/>
      <c r="AI133" s="68">
        <f t="shared" si="88"/>
        <v>0</v>
      </c>
      <c r="AJ133" s="68" t="str">
        <f t="shared" si="89"/>
        <v>#NUM!</v>
      </c>
      <c r="AK133" s="68" t="str">
        <f t="shared" si="90"/>
        <v>#NUM!</v>
      </c>
      <c r="AL133" s="225" t="s">
        <v>578</v>
      </c>
      <c r="AM133" s="234">
        <v>2015.0</v>
      </c>
      <c r="AN133" s="58"/>
      <c r="AO133" s="58">
        <f t="shared" si="91"/>
        <v>2021</v>
      </c>
      <c r="AP133" s="89" t="s">
        <v>88</v>
      </c>
      <c r="AQ133" s="227"/>
      <c r="AR133" s="102" t="s">
        <v>121</v>
      </c>
      <c r="AS133" s="225"/>
      <c r="AT133" s="225"/>
      <c r="AU133" s="225"/>
      <c r="AV133" s="225"/>
      <c r="AW133" s="225"/>
      <c r="AX133" s="225"/>
      <c r="AY133" s="225"/>
      <c r="AZ133" s="225"/>
      <c r="BA133" s="225"/>
      <c r="BB133" s="235">
        <v>44817.0</v>
      </c>
      <c r="BC133" s="235">
        <v>44817.0</v>
      </c>
      <c r="BD133" s="235">
        <v>44817.0</v>
      </c>
      <c r="BE133" s="235">
        <v>44817.0</v>
      </c>
      <c r="BF133" s="235">
        <v>44817.0</v>
      </c>
      <c r="BG133" s="236"/>
      <c r="BH133" s="225"/>
      <c r="BI133" s="225" t="s">
        <v>129</v>
      </c>
    </row>
    <row r="134" ht="15.75" customHeight="1">
      <c r="A134" s="222" t="s">
        <v>568</v>
      </c>
      <c r="B134" s="238" t="s">
        <v>63</v>
      </c>
      <c r="C134" s="224" t="s">
        <v>585</v>
      </c>
      <c r="D134" s="225" t="s">
        <v>72</v>
      </c>
      <c r="E134" s="225" t="s">
        <v>586</v>
      </c>
      <c r="F134" s="225" t="s">
        <v>587</v>
      </c>
      <c r="G134" s="225"/>
      <c r="H134" s="225">
        <v>360.0</v>
      </c>
      <c r="I134" s="225"/>
      <c r="J134" s="225" t="s">
        <v>68</v>
      </c>
      <c r="K134" s="225" t="s">
        <v>69</v>
      </c>
      <c r="L134" s="226"/>
      <c r="M134" s="227"/>
      <c r="N134" s="228"/>
      <c r="O134" s="228"/>
      <c r="P134" s="228"/>
      <c r="Q134" s="228"/>
      <c r="R134" s="228"/>
      <c r="S134" s="228"/>
      <c r="T134" s="228"/>
      <c r="U134" s="228"/>
      <c r="V134" s="228"/>
      <c r="W134" s="228"/>
      <c r="X134" s="231"/>
      <c r="Y134" s="62">
        <f t="shared" si="85"/>
        <v>0</v>
      </c>
      <c r="Z134" s="64" t="str">
        <f t="shared" si="77"/>
        <v>#DIV/0!</v>
      </c>
      <c r="AA134" s="228"/>
      <c r="AB134" s="228"/>
      <c r="AC134" s="228"/>
      <c r="AD134" s="228"/>
      <c r="AE134" s="228"/>
      <c r="AF134" s="86" t="str">
        <f t="shared" si="86"/>
        <v>#REF!</v>
      </c>
      <c r="AG134" s="68" t="str">
        <f t="shared" si="87"/>
        <v>#NUM!</v>
      </c>
      <c r="AH134" s="228"/>
      <c r="AI134" s="68">
        <f t="shared" si="88"/>
        <v>0</v>
      </c>
      <c r="AJ134" s="68" t="str">
        <f t="shared" si="89"/>
        <v>#NUM!</v>
      </c>
      <c r="AK134" s="68" t="str">
        <f t="shared" si="90"/>
        <v>#NUM!</v>
      </c>
      <c r="AL134" s="225" t="s">
        <v>588</v>
      </c>
      <c r="AM134" s="234">
        <v>2017.0</v>
      </c>
      <c r="AN134" s="58"/>
      <c r="AO134" s="58">
        <f t="shared" si="91"/>
        <v>2023</v>
      </c>
      <c r="AP134" s="102" t="s">
        <v>156</v>
      </c>
      <c r="AQ134" s="227"/>
      <c r="AR134" s="102" t="s">
        <v>121</v>
      </c>
      <c r="AS134" s="225"/>
      <c r="AT134" s="225"/>
      <c r="AU134" s="225"/>
      <c r="AV134" s="225"/>
      <c r="AW134" s="225"/>
      <c r="AX134" s="225"/>
      <c r="AY134" s="225"/>
      <c r="AZ134" s="225"/>
      <c r="BA134" s="225"/>
      <c r="BB134" s="235">
        <v>44817.0</v>
      </c>
      <c r="BC134" s="235">
        <v>44817.0</v>
      </c>
      <c r="BD134" s="235">
        <v>44817.0</v>
      </c>
      <c r="BE134" s="235">
        <v>44817.0</v>
      </c>
      <c r="BF134" s="235">
        <v>44817.0</v>
      </c>
      <c r="BG134" s="236"/>
      <c r="BH134" s="225"/>
      <c r="BI134" s="225" t="s">
        <v>129</v>
      </c>
    </row>
    <row r="135" ht="15.75" customHeight="1">
      <c r="A135" s="222" t="s">
        <v>568</v>
      </c>
      <c r="B135" s="223" t="s">
        <v>63</v>
      </c>
      <c r="C135" s="224" t="s">
        <v>589</v>
      </c>
      <c r="D135" s="225" t="s">
        <v>72</v>
      </c>
      <c r="E135" s="225" t="s">
        <v>263</v>
      </c>
      <c r="F135" s="225" t="s">
        <v>590</v>
      </c>
      <c r="G135" s="225"/>
      <c r="H135" s="225">
        <v>360.0</v>
      </c>
      <c r="I135" s="225"/>
      <c r="J135" s="225" t="s">
        <v>68</v>
      </c>
      <c r="K135" s="225" t="s">
        <v>69</v>
      </c>
      <c r="L135" s="226"/>
      <c r="M135" s="227"/>
      <c r="N135" s="228"/>
      <c r="O135" s="228"/>
      <c r="P135" s="228"/>
      <c r="Q135" s="228"/>
      <c r="R135" s="228"/>
      <c r="S135" s="228"/>
      <c r="T135" s="228"/>
      <c r="U135" s="228"/>
      <c r="V135" s="228"/>
      <c r="W135" s="228"/>
      <c r="X135" s="231"/>
      <c r="Y135" s="62">
        <f t="shared" si="85"/>
        <v>0</v>
      </c>
      <c r="Z135" s="64" t="str">
        <f t="shared" si="77"/>
        <v>#DIV/0!</v>
      </c>
      <c r="AA135" s="228"/>
      <c r="AB135" s="228"/>
      <c r="AC135" s="228"/>
      <c r="AD135" s="228"/>
      <c r="AE135" s="228"/>
      <c r="AF135" s="86" t="str">
        <f t="shared" si="86"/>
        <v>#REF!</v>
      </c>
      <c r="AG135" s="68" t="str">
        <f t="shared" si="87"/>
        <v>#NUM!</v>
      </c>
      <c r="AH135" s="228"/>
      <c r="AI135" s="68">
        <f t="shared" si="88"/>
        <v>0</v>
      </c>
      <c r="AJ135" s="68" t="str">
        <f t="shared" si="89"/>
        <v>#NUM!</v>
      </c>
      <c r="AK135" s="68" t="str">
        <f t="shared" si="90"/>
        <v>#NUM!</v>
      </c>
      <c r="AL135" s="225" t="s">
        <v>591</v>
      </c>
      <c r="AM135" s="234">
        <v>2018.0</v>
      </c>
      <c r="AN135" s="58"/>
      <c r="AO135" s="58">
        <f t="shared" si="91"/>
        <v>2024</v>
      </c>
      <c r="AP135" s="102" t="s">
        <v>156</v>
      </c>
      <c r="AQ135" s="227"/>
      <c r="AR135" s="102" t="s">
        <v>121</v>
      </c>
      <c r="AS135" s="225"/>
      <c r="AT135" s="225"/>
      <c r="AU135" s="225"/>
      <c r="AV135" s="225"/>
      <c r="AW135" s="225"/>
      <c r="AX135" s="225"/>
      <c r="AY135" s="225"/>
      <c r="AZ135" s="225"/>
      <c r="BA135" s="225"/>
      <c r="BB135" s="235">
        <v>44817.0</v>
      </c>
      <c r="BC135" s="235">
        <v>44817.0</v>
      </c>
      <c r="BD135" s="235">
        <v>44817.0</v>
      </c>
      <c r="BE135" s="235">
        <v>44817.0</v>
      </c>
      <c r="BF135" s="235">
        <v>44817.0</v>
      </c>
      <c r="BG135" s="236"/>
      <c r="BH135" s="225"/>
      <c r="BI135" s="225" t="s">
        <v>129</v>
      </c>
    </row>
    <row r="136" ht="15.75" customHeight="1">
      <c r="A136" s="222" t="s">
        <v>568</v>
      </c>
      <c r="B136" s="223" t="s">
        <v>63</v>
      </c>
      <c r="C136" s="224" t="s">
        <v>64</v>
      </c>
      <c r="D136" s="225" t="s">
        <v>65</v>
      </c>
      <c r="E136" s="225" t="s">
        <v>592</v>
      </c>
      <c r="F136" s="234" t="s">
        <v>593</v>
      </c>
      <c r="G136" s="225"/>
      <c r="H136" s="225">
        <v>1200.0</v>
      </c>
      <c r="I136" s="225"/>
      <c r="J136" s="225" t="s">
        <v>68</v>
      </c>
      <c r="K136" s="225" t="s">
        <v>69</v>
      </c>
      <c r="L136" s="226"/>
      <c r="M136" s="227"/>
      <c r="N136" s="228"/>
      <c r="O136" s="228"/>
      <c r="P136" s="228"/>
      <c r="Q136" s="228"/>
      <c r="R136" s="228"/>
      <c r="S136" s="228"/>
      <c r="T136" s="228"/>
      <c r="U136" s="228"/>
      <c r="V136" s="228"/>
      <c r="W136" s="228"/>
      <c r="X136" s="231"/>
      <c r="Y136" s="62">
        <f t="shared" si="85"/>
        <v>0</v>
      </c>
      <c r="Z136" s="64" t="str">
        <f t="shared" si="77"/>
        <v>#DIV/0!</v>
      </c>
      <c r="AA136" s="228"/>
      <c r="AB136" s="228"/>
      <c r="AC136" s="228"/>
      <c r="AD136" s="228"/>
      <c r="AE136" s="228"/>
      <c r="AF136" s="86" t="str">
        <f t="shared" si="86"/>
        <v>#REF!</v>
      </c>
      <c r="AG136" s="68" t="str">
        <f t="shared" si="87"/>
        <v>#NUM!</v>
      </c>
      <c r="AH136" s="228"/>
      <c r="AI136" s="68">
        <f t="shared" si="88"/>
        <v>0</v>
      </c>
      <c r="AJ136" s="68" t="str">
        <f t="shared" si="89"/>
        <v>#NUM!</v>
      </c>
      <c r="AK136" s="68" t="str">
        <f t="shared" si="90"/>
        <v>#NUM!</v>
      </c>
      <c r="AL136" s="225" t="s">
        <v>594</v>
      </c>
      <c r="AM136" s="234">
        <v>2019.0</v>
      </c>
      <c r="AN136" s="58"/>
      <c r="AO136" s="58">
        <f t="shared" si="91"/>
        <v>2025</v>
      </c>
      <c r="AP136" s="102" t="s">
        <v>156</v>
      </c>
      <c r="AQ136" s="227"/>
      <c r="AR136" s="89" t="s">
        <v>102</v>
      </c>
      <c r="AS136" s="225"/>
      <c r="AT136" s="225"/>
      <c r="AU136" s="225"/>
      <c r="AV136" s="225"/>
      <c r="AW136" s="225"/>
      <c r="AX136" s="225"/>
      <c r="AY136" s="225"/>
      <c r="AZ136" s="225"/>
      <c r="BA136" s="225"/>
      <c r="BB136" s="235">
        <v>44817.0</v>
      </c>
      <c r="BC136" s="235">
        <v>44817.0</v>
      </c>
      <c r="BD136" s="235">
        <v>44817.0</v>
      </c>
      <c r="BE136" s="235">
        <v>44817.0</v>
      </c>
      <c r="BF136" s="235">
        <v>44817.0</v>
      </c>
      <c r="BG136" s="236"/>
      <c r="BH136" s="225"/>
      <c r="BI136" s="225" t="s">
        <v>129</v>
      </c>
    </row>
    <row r="137" ht="15.75" customHeight="1">
      <c r="A137" s="222" t="s">
        <v>568</v>
      </c>
      <c r="B137" s="223"/>
      <c r="C137" s="224" t="s">
        <v>595</v>
      </c>
      <c r="D137" s="225" t="s">
        <v>295</v>
      </c>
      <c r="E137" s="225" t="s">
        <v>583</v>
      </c>
      <c r="F137" s="234" t="s">
        <v>584</v>
      </c>
      <c r="G137" s="225"/>
      <c r="H137" s="225">
        <v>440.0</v>
      </c>
      <c r="I137" s="225"/>
      <c r="J137" s="225" t="s">
        <v>68</v>
      </c>
      <c r="K137" s="225" t="s">
        <v>69</v>
      </c>
      <c r="L137" s="226"/>
      <c r="M137" s="227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31"/>
      <c r="Y137" s="62">
        <f t="shared" si="85"/>
        <v>0</v>
      </c>
      <c r="Z137" s="64" t="str">
        <f t="shared" si="77"/>
        <v>#DIV/0!</v>
      </c>
      <c r="AA137" s="228"/>
      <c r="AB137" s="228"/>
      <c r="AC137" s="228"/>
      <c r="AD137" s="228"/>
      <c r="AE137" s="228"/>
      <c r="AF137" s="86" t="str">
        <f t="shared" si="86"/>
        <v>#REF!</v>
      </c>
      <c r="AG137" s="68" t="str">
        <f t="shared" si="87"/>
        <v>#NUM!</v>
      </c>
      <c r="AH137" s="228"/>
      <c r="AI137" s="68">
        <f t="shared" si="88"/>
        <v>0</v>
      </c>
      <c r="AJ137" s="68" t="str">
        <f t="shared" si="89"/>
        <v>#NUM!</v>
      </c>
      <c r="AK137" s="68" t="str">
        <f t="shared" si="90"/>
        <v>#NUM!</v>
      </c>
      <c r="AL137" s="225" t="s">
        <v>596</v>
      </c>
      <c r="AM137" s="234">
        <v>2016.0</v>
      </c>
      <c r="AN137" s="58"/>
      <c r="AO137" s="58">
        <f t="shared" si="91"/>
        <v>2022</v>
      </c>
      <c r="AP137" s="102" t="s">
        <v>156</v>
      </c>
      <c r="AQ137" s="227"/>
      <c r="AR137" s="89" t="s">
        <v>102</v>
      </c>
      <c r="AS137" s="225"/>
      <c r="AT137" s="225"/>
      <c r="AU137" s="225"/>
      <c r="AV137" s="225"/>
      <c r="AW137" s="225"/>
      <c r="AX137" s="225"/>
      <c r="AY137" s="225"/>
      <c r="AZ137" s="225"/>
      <c r="BA137" s="225"/>
      <c r="BB137" s="235">
        <v>44817.0</v>
      </c>
      <c r="BC137" s="235">
        <v>44817.0</v>
      </c>
      <c r="BD137" s="235">
        <v>44817.0</v>
      </c>
      <c r="BE137" s="235">
        <v>44817.0</v>
      </c>
      <c r="BF137" s="235">
        <v>44817.0</v>
      </c>
      <c r="BG137" s="236"/>
      <c r="BH137" s="225"/>
      <c r="BI137" s="225" t="s">
        <v>129</v>
      </c>
    </row>
    <row r="138" ht="15.75" customHeight="1">
      <c r="A138" s="222" t="s">
        <v>568</v>
      </c>
      <c r="B138" s="223" t="s">
        <v>63</v>
      </c>
      <c r="C138" s="224" t="s">
        <v>597</v>
      </c>
      <c r="D138" s="225" t="s">
        <v>295</v>
      </c>
      <c r="E138" s="225" t="s">
        <v>598</v>
      </c>
      <c r="F138" s="234" t="s">
        <v>581</v>
      </c>
      <c r="G138" s="225" t="s">
        <v>599</v>
      </c>
      <c r="H138" s="225">
        <v>460.0</v>
      </c>
      <c r="I138" s="225" t="s">
        <v>74</v>
      </c>
      <c r="J138" s="225" t="s">
        <v>68</v>
      </c>
      <c r="K138" s="225" t="s">
        <v>564</v>
      </c>
      <c r="L138" s="226">
        <v>40.0</v>
      </c>
      <c r="M138" s="227">
        <v>50.0</v>
      </c>
      <c r="N138" s="228">
        <v>2022.0</v>
      </c>
      <c r="O138" s="229" t="s">
        <v>600</v>
      </c>
      <c r="P138" s="239" t="s">
        <v>601</v>
      </c>
      <c r="Q138" s="228" t="s">
        <v>85</v>
      </c>
      <c r="R138" s="229" t="s">
        <v>602</v>
      </c>
      <c r="S138" s="228">
        <v>9.0</v>
      </c>
      <c r="T138" s="228">
        <v>2.0</v>
      </c>
      <c r="U138" s="228"/>
      <c r="V138" s="228">
        <v>6.0</v>
      </c>
      <c r="W138" s="228">
        <v>5.0</v>
      </c>
      <c r="X138" s="231">
        <v>0.0</v>
      </c>
      <c r="Y138" s="62">
        <f t="shared" ref="Y138:Y141" si="92">SUM(S138,T138)</f>
        <v>11</v>
      </c>
      <c r="Z138" s="64">
        <f t="shared" si="77"/>
        <v>0.8181818182</v>
      </c>
      <c r="AA138" s="228"/>
      <c r="AB138" s="228"/>
      <c r="AC138" s="232">
        <v>210.0</v>
      </c>
      <c r="AD138" s="228">
        <v>1.0</v>
      </c>
      <c r="AE138" s="228">
        <v>210.0</v>
      </c>
      <c r="AF138" s="86" t="s">
        <v>100</v>
      </c>
      <c r="AG138" s="68">
        <v>159600.0</v>
      </c>
      <c r="AH138" s="232">
        <v>111991.2</v>
      </c>
      <c r="AI138" s="68">
        <v>35112.0</v>
      </c>
      <c r="AJ138" s="68">
        <f t="shared" si="89"/>
        <v>3990</v>
      </c>
      <c r="AK138" s="68">
        <f>0.05*AG138</f>
        <v>7980</v>
      </c>
      <c r="AL138" s="237" t="s">
        <v>603</v>
      </c>
      <c r="AM138" s="234">
        <v>2022.0</v>
      </c>
      <c r="AN138" s="59" t="s">
        <v>155</v>
      </c>
      <c r="AO138" s="58">
        <v>2028.0</v>
      </c>
      <c r="AP138" s="89" t="s">
        <v>156</v>
      </c>
      <c r="AQ138" s="227"/>
      <c r="AR138" s="102" t="s">
        <v>102</v>
      </c>
      <c r="AS138" s="225"/>
      <c r="AT138" s="225"/>
      <c r="AU138" s="225"/>
      <c r="AV138" s="225"/>
      <c r="AW138" s="225"/>
      <c r="AX138" s="225"/>
      <c r="AY138" s="225"/>
      <c r="AZ138" s="225"/>
      <c r="BA138" s="225"/>
      <c r="BB138" s="235">
        <v>44817.0</v>
      </c>
      <c r="BC138" s="235">
        <v>44817.0</v>
      </c>
      <c r="BD138" s="235">
        <v>44817.0</v>
      </c>
      <c r="BE138" s="235">
        <v>44817.0</v>
      </c>
      <c r="BF138" s="235">
        <v>44817.0</v>
      </c>
      <c r="BG138" s="236"/>
      <c r="BH138" s="225"/>
      <c r="BI138" s="225"/>
    </row>
    <row r="139" ht="15.75" customHeight="1">
      <c r="A139" s="222" t="s">
        <v>568</v>
      </c>
      <c r="B139" s="223" t="s">
        <v>63</v>
      </c>
      <c r="C139" s="240" t="s">
        <v>604</v>
      </c>
      <c r="D139" s="241" t="s">
        <v>65</v>
      </c>
      <c r="E139" s="241" t="s">
        <v>605</v>
      </c>
      <c r="F139" s="241" t="s">
        <v>606</v>
      </c>
      <c r="G139" s="241"/>
      <c r="H139" s="241">
        <v>5760.0</v>
      </c>
      <c r="I139" s="241"/>
      <c r="J139" s="241" t="s">
        <v>348</v>
      </c>
      <c r="K139" s="241" t="s">
        <v>69</v>
      </c>
      <c r="L139" s="241"/>
      <c r="M139" s="241">
        <v>6.0</v>
      </c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1"/>
      <c r="Y139" s="62">
        <f t="shared" si="92"/>
        <v>0</v>
      </c>
      <c r="Z139" s="64" t="str">
        <f t="shared" si="77"/>
        <v>#DIV/0!</v>
      </c>
      <c r="AA139" s="241"/>
      <c r="AB139" s="241"/>
      <c r="AC139" s="241"/>
      <c r="AD139" s="241"/>
      <c r="AE139" s="241"/>
      <c r="AF139" s="132" t="str">
        <f t="shared" ref="AF139:AF140" si="93">DATEDIF(#REF!,#REF!,"M")+1</f>
        <v>#REF!</v>
      </c>
      <c r="AG139" s="133" t="str">
        <f t="shared" ref="AG139:AG140" si="94">LARGE(#REF!,1)*((AA139*AB139)+(AC139*AD139)+(AE139*AF139))</f>
        <v>#REF!</v>
      </c>
      <c r="AH139" s="241"/>
      <c r="AI139" s="133">
        <f t="shared" ref="AI139:AI140" si="95">AA139*0.2</f>
        <v>0</v>
      </c>
      <c r="AJ139" s="133" t="str">
        <f t="shared" si="89"/>
        <v>#REF!</v>
      </c>
      <c r="AK139" s="133" t="str">
        <f t="shared" ref="AK139:AK140" si="96">0.03*AG139</f>
        <v>#REF!</v>
      </c>
      <c r="AL139" s="241" t="s">
        <v>607</v>
      </c>
      <c r="AM139" s="242">
        <v>2016.0</v>
      </c>
      <c r="AN139" s="137"/>
      <c r="AO139" s="137">
        <f t="shared" ref="AO139:AO141" si="97">AM139+6</f>
        <v>2022</v>
      </c>
      <c r="AP139" s="243" t="s">
        <v>88</v>
      </c>
      <c r="AQ139" s="244" t="s">
        <v>63</v>
      </c>
      <c r="AR139" s="140" t="s">
        <v>121</v>
      </c>
      <c r="AS139" s="241"/>
      <c r="AT139" s="241"/>
      <c r="AU139" s="241"/>
      <c r="AV139" s="241"/>
      <c r="AW139" s="245"/>
      <c r="AX139" s="245"/>
      <c r="AY139" s="245"/>
      <c r="AZ139" s="245"/>
      <c r="BA139" s="245"/>
      <c r="BB139" s="246">
        <v>44817.0</v>
      </c>
      <c r="BC139" s="246">
        <v>44817.0</v>
      </c>
      <c r="BD139" s="246">
        <v>44817.0</v>
      </c>
      <c r="BE139" s="246">
        <v>44817.0</v>
      </c>
      <c r="BF139" s="246">
        <v>44817.0</v>
      </c>
      <c r="BG139" s="247" t="s">
        <v>608</v>
      </c>
      <c r="BH139" s="248" t="s">
        <v>609</v>
      </c>
      <c r="BI139" s="245" t="s">
        <v>129</v>
      </c>
    </row>
    <row r="140" ht="15.75" customHeight="1">
      <c r="A140" s="222" t="s">
        <v>568</v>
      </c>
      <c r="B140" s="223" t="s">
        <v>63</v>
      </c>
      <c r="C140" s="123" t="s">
        <v>610</v>
      </c>
      <c r="D140" s="227" t="s">
        <v>65</v>
      </c>
      <c r="E140" s="227" t="s">
        <v>611</v>
      </c>
      <c r="F140" s="249" t="s">
        <v>612</v>
      </c>
      <c r="G140" s="227"/>
      <c r="H140" s="227">
        <v>5760.0</v>
      </c>
      <c r="I140" s="227"/>
      <c r="J140" s="227" t="s">
        <v>348</v>
      </c>
      <c r="K140" s="227" t="s">
        <v>69</v>
      </c>
      <c r="L140" s="227"/>
      <c r="M140" s="227">
        <v>16.0</v>
      </c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62">
        <f t="shared" si="92"/>
        <v>0</v>
      </c>
      <c r="Z140" s="64" t="str">
        <f t="shared" si="77"/>
        <v>#DIV/0!</v>
      </c>
      <c r="AA140" s="227"/>
      <c r="AB140" s="227"/>
      <c r="AC140" s="227"/>
      <c r="AD140" s="227"/>
      <c r="AE140" s="227"/>
      <c r="AF140" s="147" t="str">
        <f t="shared" si="93"/>
        <v>#REF!</v>
      </c>
      <c r="AG140" s="148" t="str">
        <f t="shared" si="94"/>
        <v>#REF!</v>
      </c>
      <c r="AH140" s="227"/>
      <c r="AI140" s="148">
        <f t="shared" si="95"/>
        <v>0</v>
      </c>
      <c r="AJ140" s="148" t="str">
        <f t="shared" si="89"/>
        <v>#REF!</v>
      </c>
      <c r="AK140" s="148" t="str">
        <f t="shared" si="96"/>
        <v>#REF!</v>
      </c>
      <c r="AL140" s="227" t="s">
        <v>613</v>
      </c>
      <c r="AM140" s="249">
        <v>2020.0</v>
      </c>
      <c r="AN140" s="61"/>
      <c r="AO140" s="61">
        <f t="shared" si="97"/>
        <v>2026</v>
      </c>
      <c r="AP140" s="150" t="s">
        <v>88</v>
      </c>
      <c r="AQ140" s="244" t="s">
        <v>63</v>
      </c>
      <c r="AR140" s="96" t="s">
        <v>102</v>
      </c>
      <c r="AS140" s="227"/>
      <c r="AT140" s="227"/>
      <c r="AU140" s="227"/>
      <c r="AV140" s="227"/>
      <c r="AW140" s="250"/>
      <c r="AX140" s="250"/>
      <c r="AY140" s="250"/>
      <c r="AZ140" s="250"/>
      <c r="BA140" s="250"/>
      <c r="BB140" s="251">
        <v>44817.0</v>
      </c>
      <c r="BC140" s="251">
        <v>44817.0</v>
      </c>
      <c r="BD140" s="251">
        <v>44817.0</v>
      </c>
      <c r="BE140" s="251">
        <v>44817.0</v>
      </c>
      <c r="BF140" s="251">
        <v>44817.0</v>
      </c>
      <c r="BG140" s="250"/>
      <c r="BH140" s="250"/>
      <c r="BI140" s="250" t="s">
        <v>129</v>
      </c>
    </row>
    <row r="141" ht="15.75" customHeight="1">
      <c r="A141" s="222" t="s">
        <v>568</v>
      </c>
      <c r="B141" s="223" t="s">
        <v>63</v>
      </c>
      <c r="C141" s="123" t="s">
        <v>614</v>
      </c>
      <c r="D141" s="227" t="s">
        <v>615</v>
      </c>
      <c r="E141" s="227" t="s">
        <v>616</v>
      </c>
      <c r="F141" s="249" t="s">
        <v>617</v>
      </c>
      <c r="G141" s="227" t="s">
        <v>618</v>
      </c>
      <c r="H141" s="227" t="s">
        <v>619</v>
      </c>
      <c r="I141" s="227" t="s">
        <v>67</v>
      </c>
      <c r="J141" s="227" t="s">
        <v>68</v>
      </c>
      <c r="K141" s="227" t="s">
        <v>620</v>
      </c>
      <c r="L141" s="227" t="s">
        <v>621</v>
      </c>
      <c r="M141" s="227">
        <v>150.0</v>
      </c>
      <c r="N141" s="227">
        <v>2016.0</v>
      </c>
      <c r="O141" s="249" t="s">
        <v>622</v>
      </c>
      <c r="P141" s="252" t="s">
        <v>623</v>
      </c>
      <c r="Q141" s="227" t="s">
        <v>85</v>
      </c>
      <c r="R141" s="227" t="s">
        <v>86</v>
      </c>
      <c r="S141" s="227">
        <v>4.0</v>
      </c>
      <c r="T141" s="227">
        <v>1.0</v>
      </c>
      <c r="U141" s="227"/>
      <c r="V141" s="227">
        <v>5.0</v>
      </c>
      <c r="W141" s="227">
        <v>0.0</v>
      </c>
      <c r="X141" s="227">
        <v>0.0</v>
      </c>
      <c r="Y141" s="62">
        <f t="shared" si="92"/>
        <v>5</v>
      </c>
      <c r="Z141" s="64">
        <f t="shared" si="77"/>
        <v>0.8</v>
      </c>
      <c r="AA141" s="227" t="s">
        <v>370</v>
      </c>
      <c r="AB141" s="227" t="s">
        <v>370</v>
      </c>
      <c r="AC141" s="227" t="s">
        <v>370</v>
      </c>
      <c r="AD141" s="227" t="s">
        <v>371</v>
      </c>
      <c r="AE141" s="227" t="s">
        <v>371</v>
      </c>
      <c r="AF141" s="147" t="s">
        <v>370</v>
      </c>
      <c r="AG141" s="148" t="s">
        <v>370</v>
      </c>
      <c r="AH141" s="227" t="s">
        <v>370</v>
      </c>
      <c r="AI141" s="148" t="s">
        <v>370</v>
      </c>
      <c r="AJ141" s="148" t="s">
        <v>370</v>
      </c>
      <c r="AK141" s="148" t="s">
        <v>370</v>
      </c>
      <c r="AL141" s="252" t="s">
        <v>624</v>
      </c>
      <c r="AM141" s="249">
        <v>2023.0</v>
      </c>
      <c r="AN141" s="59" t="s">
        <v>155</v>
      </c>
      <c r="AO141" s="61">
        <f t="shared" si="97"/>
        <v>2029</v>
      </c>
      <c r="AP141" s="150" t="s">
        <v>156</v>
      </c>
      <c r="AQ141" s="227"/>
      <c r="AR141" s="96" t="s">
        <v>102</v>
      </c>
      <c r="AS141" s="227"/>
      <c r="AT141" s="227"/>
      <c r="AU141" s="227"/>
      <c r="AV141" s="227"/>
      <c r="AW141" s="250"/>
      <c r="AX141" s="250"/>
      <c r="AY141" s="250"/>
      <c r="AZ141" s="250"/>
      <c r="BA141" s="250"/>
      <c r="BB141" s="251"/>
      <c r="BC141" s="251"/>
      <c r="BD141" s="251"/>
      <c r="BE141" s="251"/>
      <c r="BF141" s="251"/>
      <c r="BG141" s="250"/>
      <c r="BH141" s="250"/>
      <c r="BI141" s="250"/>
    </row>
    <row r="142" ht="15.75" customHeight="1">
      <c r="A142" s="222" t="s">
        <v>568</v>
      </c>
      <c r="B142" s="253" t="s">
        <v>63</v>
      </c>
      <c r="C142" s="123" t="s">
        <v>625</v>
      </c>
      <c r="D142" s="227" t="s">
        <v>626</v>
      </c>
      <c r="E142" s="227" t="s">
        <v>627</v>
      </c>
      <c r="F142" s="249"/>
      <c r="G142" s="227"/>
      <c r="H142" s="227">
        <v>470.0</v>
      </c>
      <c r="I142" s="227" t="s">
        <v>74</v>
      </c>
      <c r="J142" s="227" t="s">
        <v>68</v>
      </c>
      <c r="K142" s="227" t="s">
        <v>564</v>
      </c>
      <c r="L142" s="227">
        <v>40.0</v>
      </c>
      <c r="M142" s="227">
        <v>50.0</v>
      </c>
      <c r="N142" s="227"/>
      <c r="O142" s="249"/>
      <c r="P142" s="227"/>
      <c r="Q142" s="227"/>
      <c r="R142" s="227"/>
      <c r="S142" s="227"/>
      <c r="T142" s="227"/>
      <c r="U142" s="227"/>
      <c r="V142" s="227"/>
      <c r="W142" s="227"/>
      <c r="X142" s="227"/>
      <c r="Y142" s="62"/>
      <c r="Z142" s="64"/>
      <c r="AA142" s="227"/>
      <c r="AB142" s="227"/>
      <c r="AC142" s="227"/>
      <c r="AD142" s="227"/>
      <c r="AE142" s="227"/>
      <c r="AF142" s="147"/>
      <c r="AG142" s="148"/>
      <c r="AH142" s="227"/>
      <c r="AI142" s="148"/>
      <c r="AJ142" s="148"/>
      <c r="AK142" s="148"/>
      <c r="AL142" s="227"/>
      <c r="AM142" s="249"/>
      <c r="AN142" s="59"/>
      <c r="AO142" s="61"/>
      <c r="AP142" s="150"/>
      <c r="AQ142" s="227"/>
      <c r="AR142" s="96"/>
      <c r="AS142" s="227"/>
      <c r="AT142" s="227"/>
      <c r="AU142" s="227"/>
      <c r="AV142" s="227"/>
      <c r="AW142" s="250"/>
      <c r="AX142" s="250"/>
      <c r="AY142" s="250"/>
      <c r="AZ142" s="250"/>
      <c r="BA142" s="250"/>
      <c r="BB142" s="251"/>
      <c r="BC142" s="251"/>
      <c r="BD142" s="251"/>
      <c r="BE142" s="251"/>
      <c r="BF142" s="251"/>
      <c r="BG142" s="250"/>
      <c r="BH142" s="250"/>
      <c r="BI142" s="250"/>
    </row>
    <row r="143" ht="15.75" customHeight="1">
      <c r="A143" s="222" t="s">
        <v>568</v>
      </c>
      <c r="B143" s="253" t="s">
        <v>63</v>
      </c>
      <c r="C143" s="123" t="s">
        <v>628</v>
      </c>
      <c r="D143" s="227" t="s">
        <v>626</v>
      </c>
      <c r="E143" s="227" t="s">
        <v>629</v>
      </c>
      <c r="F143" s="249"/>
      <c r="G143" s="227"/>
      <c r="H143" s="227">
        <v>380.0</v>
      </c>
      <c r="I143" s="227" t="s">
        <v>74</v>
      </c>
      <c r="J143" s="227" t="s">
        <v>68</v>
      </c>
      <c r="K143" s="227" t="s">
        <v>564</v>
      </c>
      <c r="L143" s="227">
        <v>40.0</v>
      </c>
      <c r="M143" s="227">
        <v>50.0</v>
      </c>
      <c r="N143" s="227"/>
      <c r="O143" s="249"/>
      <c r="P143" s="227"/>
      <c r="Q143" s="227"/>
      <c r="R143" s="227"/>
      <c r="S143" s="227"/>
      <c r="T143" s="227"/>
      <c r="U143" s="227"/>
      <c r="V143" s="227"/>
      <c r="W143" s="227"/>
      <c r="X143" s="227"/>
      <c r="Y143" s="62"/>
      <c r="Z143" s="64"/>
      <c r="AA143" s="227"/>
      <c r="AB143" s="227"/>
      <c r="AC143" s="227"/>
      <c r="AD143" s="227"/>
      <c r="AE143" s="227"/>
      <c r="AF143" s="147"/>
      <c r="AG143" s="148"/>
      <c r="AH143" s="227"/>
      <c r="AI143" s="148"/>
      <c r="AJ143" s="148"/>
      <c r="AK143" s="148"/>
      <c r="AL143" s="227"/>
      <c r="AM143" s="249"/>
      <c r="AN143" s="59"/>
      <c r="AO143" s="61"/>
      <c r="AP143" s="150"/>
      <c r="AQ143" s="227"/>
      <c r="AR143" s="96"/>
      <c r="AS143" s="227"/>
      <c r="AT143" s="227"/>
      <c r="AU143" s="227"/>
      <c r="AV143" s="227"/>
      <c r="AW143" s="250"/>
      <c r="AX143" s="250"/>
      <c r="AY143" s="250"/>
      <c r="AZ143" s="250"/>
      <c r="BA143" s="250"/>
      <c r="BB143" s="251"/>
      <c r="BC143" s="251"/>
      <c r="BD143" s="251"/>
      <c r="BE143" s="251"/>
      <c r="BF143" s="251"/>
      <c r="BG143" s="250"/>
      <c r="BH143" s="250"/>
      <c r="BI143" s="250"/>
    </row>
    <row r="144" ht="15.75" customHeight="1">
      <c r="A144" s="222" t="s">
        <v>568</v>
      </c>
      <c r="B144" s="253" t="s">
        <v>63</v>
      </c>
      <c r="C144" s="123" t="s">
        <v>630</v>
      </c>
      <c r="D144" s="227" t="s">
        <v>626</v>
      </c>
      <c r="E144" s="227" t="s">
        <v>631</v>
      </c>
      <c r="F144" s="249"/>
      <c r="G144" s="227"/>
      <c r="H144" s="227">
        <v>360.0</v>
      </c>
      <c r="I144" s="227" t="s">
        <v>74</v>
      </c>
      <c r="J144" s="227" t="s">
        <v>68</v>
      </c>
      <c r="K144" s="227" t="s">
        <v>564</v>
      </c>
      <c r="L144" s="227">
        <v>40.0</v>
      </c>
      <c r="M144" s="227">
        <v>50.0</v>
      </c>
      <c r="N144" s="227"/>
      <c r="O144" s="249"/>
      <c r="P144" s="227"/>
      <c r="Q144" s="227"/>
      <c r="R144" s="227"/>
      <c r="S144" s="227"/>
      <c r="T144" s="227"/>
      <c r="U144" s="227"/>
      <c r="V144" s="227"/>
      <c r="W144" s="227"/>
      <c r="X144" s="227"/>
      <c r="Y144" s="62"/>
      <c r="Z144" s="64"/>
      <c r="AA144" s="227"/>
      <c r="AB144" s="227"/>
      <c r="AC144" s="227"/>
      <c r="AD144" s="227"/>
      <c r="AE144" s="227"/>
      <c r="AF144" s="147"/>
      <c r="AG144" s="148"/>
      <c r="AH144" s="227"/>
      <c r="AI144" s="148"/>
      <c r="AJ144" s="148"/>
      <c r="AK144" s="148"/>
      <c r="AL144" s="227"/>
      <c r="AM144" s="249"/>
      <c r="AN144" s="59"/>
      <c r="AO144" s="61"/>
      <c r="AP144" s="150"/>
      <c r="AQ144" s="227"/>
      <c r="AR144" s="96"/>
      <c r="AS144" s="227"/>
      <c r="AT144" s="227"/>
      <c r="AU144" s="227"/>
      <c r="AV144" s="227"/>
      <c r="AW144" s="250"/>
      <c r="AX144" s="250"/>
      <c r="AY144" s="250"/>
      <c r="AZ144" s="250"/>
      <c r="BA144" s="250"/>
      <c r="BB144" s="251"/>
      <c r="BC144" s="251"/>
      <c r="BD144" s="251"/>
      <c r="BE144" s="251"/>
      <c r="BF144" s="251"/>
      <c r="BG144" s="250"/>
      <c r="BH144" s="250"/>
      <c r="BI144" s="250"/>
    </row>
    <row r="145" ht="15.75" customHeight="1">
      <c r="A145" s="254" t="s">
        <v>632</v>
      </c>
      <c r="B145" s="255" t="s">
        <v>63</v>
      </c>
      <c r="C145" s="256" t="s">
        <v>633</v>
      </c>
      <c r="D145" s="257" t="s">
        <v>634</v>
      </c>
      <c r="E145" s="257" t="s">
        <v>635</v>
      </c>
      <c r="F145" s="258" t="s">
        <v>636</v>
      </c>
      <c r="G145" s="257"/>
      <c r="H145" s="257">
        <v>368.0</v>
      </c>
      <c r="I145" s="257"/>
      <c r="J145" s="257" t="s">
        <v>68</v>
      </c>
      <c r="K145" s="257" t="s">
        <v>69</v>
      </c>
      <c r="L145" s="259"/>
      <c r="M145" s="260"/>
      <c r="N145" s="254"/>
      <c r="O145" s="254"/>
      <c r="P145" s="254"/>
      <c r="Q145" s="254"/>
      <c r="R145" s="254"/>
      <c r="S145" s="254"/>
      <c r="T145" s="254"/>
      <c r="U145" s="254"/>
      <c r="V145" s="254"/>
      <c r="W145" s="254"/>
      <c r="X145" s="261"/>
      <c r="Y145" s="262">
        <f t="shared" ref="Y145:Y155" si="98">SUM(S145:T145)</f>
        <v>0</v>
      </c>
      <c r="Z145" s="64" t="str">
        <f t="shared" ref="Z145:Z151" si="99">S145/Y145</f>
        <v>#DIV/0!</v>
      </c>
      <c r="AA145" s="254"/>
      <c r="AB145" s="254"/>
      <c r="AC145" s="254"/>
      <c r="AD145" s="254"/>
      <c r="AE145" s="254"/>
      <c r="AF145" s="86" t="str">
        <f t="shared" ref="AF145:AF148" si="100">DATEDIF(#REF!,#REF!,"M")+1</f>
        <v>#REF!</v>
      </c>
      <c r="AG145" s="68" t="str">
        <f t="shared" ref="AG145:AG148" si="101">LARGE(AS145:BA145,1)*((AA145*AB145)+(AC145*AD145)+(AE145*AF145))</f>
        <v>#NUM!</v>
      </c>
      <c r="AH145" s="254"/>
      <c r="AI145" s="68">
        <f t="shared" ref="AI145:AI148" si="102">AA145*0.2</f>
        <v>0</v>
      </c>
      <c r="AJ145" s="68" t="str">
        <f t="shared" ref="AJ145:AJ148" si="103">AG145*0.025</f>
        <v>#NUM!</v>
      </c>
      <c r="AK145" s="68" t="str">
        <f t="shared" ref="AK145:AK148" si="104">0.03*AG145</f>
        <v>#NUM!</v>
      </c>
      <c r="AL145" s="263" t="s">
        <v>637</v>
      </c>
      <c r="AM145" s="258">
        <v>2012.0</v>
      </c>
      <c r="AN145" s="58"/>
      <c r="AO145" s="58">
        <f t="shared" ref="AO145:AO149" si="105">AM145+6</f>
        <v>2018</v>
      </c>
      <c r="AP145" s="102" t="s">
        <v>156</v>
      </c>
      <c r="AQ145" s="257"/>
      <c r="AR145" s="89" t="s">
        <v>102</v>
      </c>
      <c r="AS145" s="257"/>
      <c r="AT145" s="257"/>
      <c r="AU145" s="257"/>
      <c r="AV145" s="257"/>
      <c r="AW145" s="257"/>
      <c r="AX145" s="257"/>
      <c r="AY145" s="257"/>
      <c r="AZ145" s="257"/>
      <c r="BA145" s="257"/>
      <c r="BB145" s="264">
        <v>44817.0</v>
      </c>
      <c r="BC145" s="264">
        <v>44817.0</v>
      </c>
      <c r="BD145" s="264">
        <v>44817.0</v>
      </c>
      <c r="BE145" s="264">
        <v>44817.0</v>
      </c>
      <c r="BF145" s="264">
        <v>44817.0</v>
      </c>
      <c r="BG145" s="265"/>
      <c r="BH145" s="257"/>
      <c r="BI145" s="257" t="s">
        <v>129</v>
      </c>
    </row>
    <row r="146" ht="15.75" customHeight="1">
      <c r="A146" s="254" t="s">
        <v>632</v>
      </c>
      <c r="B146" s="266" t="s">
        <v>63</v>
      </c>
      <c r="C146" s="256" t="s">
        <v>638</v>
      </c>
      <c r="D146" s="257" t="s">
        <v>639</v>
      </c>
      <c r="E146" s="257" t="s">
        <v>640</v>
      </c>
      <c r="F146" s="258" t="s">
        <v>641</v>
      </c>
      <c r="G146" s="257"/>
      <c r="H146" s="257">
        <v>5760.0</v>
      </c>
      <c r="I146" s="257"/>
      <c r="J146" s="257" t="s">
        <v>429</v>
      </c>
      <c r="K146" s="257" t="s">
        <v>69</v>
      </c>
      <c r="L146" s="259"/>
      <c r="M146" s="260"/>
      <c r="N146" s="254"/>
      <c r="O146" s="254"/>
      <c r="P146" s="254"/>
      <c r="Q146" s="254"/>
      <c r="R146" s="254"/>
      <c r="S146" s="254"/>
      <c r="T146" s="254"/>
      <c r="U146" s="254"/>
      <c r="V146" s="254"/>
      <c r="W146" s="254"/>
      <c r="X146" s="261"/>
      <c r="Y146" s="262">
        <f t="shared" si="98"/>
        <v>0</v>
      </c>
      <c r="Z146" s="64" t="str">
        <f t="shared" si="99"/>
        <v>#DIV/0!</v>
      </c>
      <c r="AA146" s="254"/>
      <c r="AB146" s="254"/>
      <c r="AC146" s="254"/>
      <c r="AD146" s="254"/>
      <c r="AE146" s="254"/>
      <c r="AF146" s="86" t="str">
        <f t="shared" si="100"/>
        <v>#REF!</v>
      </c>
      <c r="AG146" s="68" t="str">
        <f t="shared" si="101"/>
        <v>#NUM!</v>
      </c>
      <c r="AH146" s="254"/>
      <c r="AI146" s="68">
        <f t="shared" si="102"/>
        <v>0</v>
      </c>
      <c r="AJ146" s="68" t="str">
        <f t="shared" si="103"/>
        <v>#NUM!</v>
      </c>
      <c r="AK146" s="68" t="str">
        <f t="shared" si="104"/>
        <v>#NUM!</v>
      </c>
      <c r="AL146" s="263" t="s">
        <v>642</v>
      </c>
      <c r="AM146" s="258">
        <v>2012.0</v>
      </c>
      <c r="AN146" s="58"/>
      <c r="AO146" s="58">
        <f t="shared" si="105"/>
        <v>2018</v>
      </c>
      <c r="AP146" s="102" t="s">
        <v>88</v>
      </c>
      <c r="AQ146" s="267" t="s">
        <v>63</v>
      </c>
      <c r="AR146" s="89" t="s">
        <v>102</v>
      </c>
      <c r="AS146" s="257"/>
      <c r="AT146" s="257"/>
      <c r="AU146" s="257"/>
      <c r="AV146" s="257"/>
      <c r="AW146" s="257"/>
      <c r="AX146" s="257"/>
      <c r="AY146" s="257"/>
      <c r="AZ146" s="257"/>
      <c r="BA146" s="257"/>
      <c r="BB146" s="264">
        <v>44817.0</v>
      </c>
      <c r="BC146" s="264">
        <v>44817.0</v>
      </c>
      <c r="BD146" s="264">
        <v>44817.0</v>
      </c>
      <c r="BE146" s="264">
        <v>44817.0</v>
      </c>
      <c r="BF146" s="264">
        <v>44817.0</v>
      </c>
      <c r="BG146" s="265"/>
      <c r="BH146" s="257"/>
      <c r="BI146" s="257" t="s">
        <v>129</v>
      </c>
    </row>
    <row r="147" ht="15.75" customHeight="1">
      <c r="A147" s="254" t="s">
        <v>632</v>
      </c>
      <c r="B147" s="266" t="s">
        <v>63</v>
      </c>
      <c r="C147" s="256" t="s">
        <v>643</v>
      </c>
      <c r="D147" s="257" t="s">
        <v>65</v>
      </c>
      <c r="E147" s="257" t="s">
        <v>644</v>
      </c>
      <c r="F147" s="258" t="s">
        <v>645</v>
      </c>
      <c r="G147" s="257"/>
      <c r="H147" s="257">
        <v>5760.0</v>
      </c>
      <c r="I147" s="257"/>
      <c r="J147" s="257" t="s">
        <v>429</v>
      </c>
      <c r="K147" s="257" t="s">
        <v>69</v>
      </c>
      <c r="L147" s="259"/>
      <c r="M147" s="260"/>
      <c r="N147" s="254"/>
      <c r="O147" s="254"/>
      <c r="P147" s="254"/>
      <c r="Q147" s="254"/>
      <c r="R147" s="254"/>
      <c r="S147" s="254"/>
      <c r="T147" s="254"/>
      <c r="U147" s="254"/>
      <c r="V147" s="254"/>
      <c r="W147" s="254"/>
      <c r="X147" s="261"/>
      <c r="Y147" s="262">
        <f t="shared" si="98"/>
        <v>0</v>
      </c>
      <c r="Z147" s="64" t="str">
        <f t="shared" si="99"/>
        <v>#DIV/0!</v>
      </c>
      <c r="AA147" s="254"/>
      <c r="AB147" s="254"/>
      <c r="AC147" s="254"/>
      <c r="AD147" s="254"/>
      <c r="AE147" s="254"/>
      <c r="AF147" s="86" t="str">
        <f t="shared" si="100"/>
        <v>#REF!</v>
      </c>
      <c r="AG147" s="68" t="str">
        <f t="shared" si="101"/>
        <v>#NUM!</v>
      </c>
      <c r="AH147" s="254"/>
      <c r="AI147" s="68">
        <f t="shared" si="102"/>
        <v>0</v>
      </c>
      <c r="AJ147" s="68" t="str">
        <f t="shared" si="103"/>
        <v>#NUM!</v>
      </c>
      <c r="AK147" s="68" t="str">
        <f t="shared" si="104"/>
        <v>#NUM!</v>
      </c>
      <c r="AL147" s="263" t="s">
        <v>646</v>
      </c>
      <c r="AM147" s="258">
        <v>2013.0</v>
      </c>
      <c r="AN147" s="58"/>
      <c r="AO147" s="58">
        <f t="shared" si="105"/>
        <v>2019</v>
      </c>
      <c r="AP147" s="102" t="s">
        <v>88</v>
      </c>
      <c r="AQ147" s="267" t="s">
        <v>63</v>
      </c>
      <c r="AR147" s="89" t="s">
        <v>102</v>
      </c>
      <c r="AS147" s="257"/>
      <c r="AT147" s="257"/>
      <c r="AU147" s="257"/>
      <c r="AV147" s="257"/>
      <c r="AW147" s="257"/>
      <c r="AX147" s="257"/>
      <c r="AY147" s="257"/>
      <c r="AZ147" s="257"/>
      <c r="BA147" s="257"/>
      <c r="BB147" s="264">
        <v>44817.0</v>
      </c>
      <c r="BC147" s="264">
        <v>44817.0</v>
      </c>
      <c r="BD147" s="264">
        <v>44817.0</v>
      </c>
      <c r="BE147" s="264">
        <v>44817.0</v>
      </c>
      <c r="BF147" s="264">
        <v>44817.0</v>
      </c>
      <c r="BG147" s="265"/>
      <c r="BH147" s="257"/>
      <c r="BI147" s="257" t="s">
        <v>129</v>
      </c>
    </row>
    <row r="148" ht="15.75" customHeight="1">
      <c r="A148" s="254" t="s">
        <v>632</v>
      </c>
      <c r="B148" s="266" t="s">
        <v>63</v>
      </c>
      <c r="C148" s="256" t="s">
        <v>647</v>
      </c>
      <c r="D148" s="257" t="s">
        <v>65</v>
      </c>
      <c r="E148" s="257" t="s">
        <v>644</v>
      </c>
      <c r="F148" s="258" t="s">
        <v>645</v>
      </c>
      <c r="G148" s="257"/>
      <c r="H148" s="257">
        <v>5760.0</v>
      </c>
      <c r="I148" s="257"/>
      <c r="J148" s="257" t="s">
        <v>429</v>
      </c>
      <c r="K148" s="257" t="s">
        <v>69</v>
      </c>
      <c r="L148" s="259"/>
      <c r="M148" s="260"/>
      <c r="N148" s="254"/>
      <c r="O148" s="254"/>
      <c r="P148" s="254"/>
      <c r="Q148" s="254"/>
      <c r="R148" s="254"/>
      <c r="S148" s="254"/>
      <c r="T148" s="254"/>
      <c r="U148" s="254"/>
      <c r="V148" s="254"/>
      <c r="W148" s="254"/>
      <c r="X148" s="261"/>
      <c r="Y148" s="262">
        <f t="shared" si="98"/>
        <v>0</v>
      </c>
      <c r="Z148" s="64" t="str">
        <f t="shared" si="99"/>
        <v>#DIV/0!</v>
      </c>
      <c r="AA148" s="254"/>
      <c r="AB148" s="254"/>
      <c r="AC148" s="254"/>
      <c r="AD148" s="254"/>
      <c r="AE148" s="254"/>
      <c r="AF148" s="86" t="str">
        <f t="shared" si="100"/>
        <v>#REF!</v>
      </c>
      <c r="AG148" s="68" t="str">
        <f t="shared" si="101"/>
        <v>#NUM!</v>
      </c>
      <c r="AH148" s="254"/>
      <c r="AI148" s="68">
        <f t="shared" si="102"/>
        <v>0</v>
      </c>
      <c r="AJ148" s="68" t="str">
        <f t="shared" si="103"/>
        <v>#NUM!</v>
      </c>
      <c r="AK148" s="68" t="str">
        <f t="shared" si="104"/>
        <v>#NUM!</v>
      </c>
      <c r="AL148" s="263" t="s">
        <v>648</v>
      </c>
      <c r="AM148" s="258">
        <v>2013.0</v>
      </c>
      <c r="AN148" s="58"/>
      <c r="AO148" s="58">
        <f t="shared" si="105"/>
        <v>2019</v>
      </c>
      <c r="AP148" s="102" t="s">
        <v>88</v>
      </c>
      <c r="AQ148" s="267" t="s">
        <v>63</v>
      </c>
      <c r="AR148" s="89" t="s">
        <v>102</v>
      </c>
      <c r="AS148" s="257"/>
      <c r="AT148" s="257"/>
      <c r="AU148" s="257"/>
      <c r="AV148" s="257"/>
      <c r="AW148" s="257"/>
      <c r="AX148" s="257"/>
      <c r="AY148" s="257"/>
      <c r="AZ148" s="257"/>
      <c r="BA148" s="257"/>
      <c r="BB148" s="264">
        <v>44817.0</v>
      </c>
      <c r="BC148" s="264">
        <v>44817.0</v>
      </c>
      <c r="BD148" s="264">
        <v>44817.0</v>
      </c>
      <c r="BE148" s="264">
        <v>44817.0</v>
      </c>
      <c r="BF148" s="264">
        <v>44817.0</v>
      </c>
      <c r="BG148" s="265"/>
      <c r="BH148" s="257"/>
      <c r="BI148" s="257" t="s">
        <v>129</v>
      </c>
    </row>
    <row r="149" ht="15.75" customHeight="1">
      <c r="A149" s="254" t="s">
        <v>632</v>
      </c>
      <c r="B149" s="266" t="s">
        <v>63</v>
      </c>
      <c r="C149" s="256" t="s">
        <v>649</v>
      </c>
      <c r="D149" s="257" t="s">
        <v>65</v>
      </c>
      <c r="E149" s="257" t="s">
        <v>644</v>
      </c>
      <c r="F149" s="258" t="s">
        <v>645</v>
      </c>
      <c r="G149" s="257" t="s">
        <v>650</v>
      </c>
      <c r="H149" s="257">
        <v>5760.0</v>
      </c>
      <c r="I149" s="257" t="s">
        <v>74</v>
      </c>
      <c r="J149" s="257" t="s">
        <v>429</v>
      </c>
      <c r="K149" s="257" t="s">
        <v>69</v>
      </c>
      <c r="L149" s="259">
        <v>1.0</v>
      </c>
      <c r="M149" s="260">
        <v>4.0</v>
      </c>
      <c r="N149" s="254">
        <v>2017.0</v>
      </c>
      <c r="O149" s="268" t="s">
        <v>651</v>
      </c>
      <c r="P149" s="266" t="s">
        <v>652</v>
      </c>
      <c r="Q149" s="254" t="s">
        <v>85</v>
      </c>
      <c r="R149" s="254" t="s">
        <v>218</v>
      </c>
      <c r="S149" s="254">
        <v>13.0</v>
      </c>
      <c r="T149" s="254">
        <v>0.0</v>
      </c>
      <c r="U149" s="254"/>
      <c r="V149" s="254">
        <v>3.0</v>
      </c>
      <c r="W149" s="254">
        <v>8.0</v>
      </c>
      <c r="X149" s="261">
        <v>2.0</v>
      </c>
      <c r="Y149" s="262">
        <f t="shared" si="98"/>
        <v>13</v>
      </c>
      <c r="Z149" s="64">
        <f t="shared" si="99"/>
        <v>1</v>
      </c>
      <c r="AA149" s="254" t="s">
        <v>370</v>
      </c>
      <c r="AB149" s="254" t="s">
        <v>370</v>
      </c>
      <c r="AC149" s="254" t="s">
        <v>370</v>
      </c>
      <c r="AD149" s="254" t="s">
        <v>370</v>
      </c>
      <c r="AE149" s="254" t="s">
        <v>370</v>
      </c>
      <c r="AF149" s="86" t="s">
        <v>370</v>
      </c>
      <c r="AG149" s="68" t="s">
        <v>370</v>
      </c>
      <c r="AH149" s="254" t="s">
        <v>370</v>
      </c>
      <c r="AI149" s="68" t="s">
        <v>370</v>
      </c>
      <c r="AJ149" s="68" t="s">
        <v>370</v>
      </c>
      <c r="AK149" s="68" t="s">
        <v>370</v>
      </c>
      <c r="AL149" s="269" t="s">
        <v>653</v>
      </c>
      <c r="AM149" s="258">
        <v>2023.0</v>
      </c>
      <c r="AN149" s="59" t="s">
        <v>155</v>
      </c>
      <c r="AO149" s="58">
        <f t="shared" si="105"/>
        <v>2029</v>
      </c>
      <c r="AP149" s="102" t="s">
        <v>88</v>
      </c>
      <c r="AQ149" s="267" t="s">
        <v>63</v>
      </c>
      <c r="AR149" s="89" t="s">
        <v>102</v>
      </c>
      <c r="AS149" s="257"/>
      <c r="AT149" s="257"/>
      <c r="AU149" s="257"/>
      <c r="AV149" s="257"/>
      <c r="AW149" s="257"/>
      <c r="AX149" s="257"/>
      <c r="AY149" s="257"/>
      <c r="AZ149" s="257"/>
      <c r="BA149" s="257"/>
      <c r="BB149" s="264">
        <v>44817.0</v>
      </c>
      <c r="BC149" s="264">
        <v>44817.0</v>
      </c>
      <c r="BD149" s="264">
        <v>44817.0</v>
      </c>
      <c r="BE149" s="264">
        <v>44817.0</v>
      </c>
      <c r="BF149" s="264">
        <v>44817.0</v>
      </c>
      <c r="BG149" s="265"/>
      <c r="BH149" s="257"/>
      <c r="BI149" s="257" t="s">
        <v>129</v>
      </c>
    </row>
    <row r="150" ht="15.75" customHeight="1">
      <c r="A150" s="254" t="s">
        <v>632</v>
      </c>
      <c r="B150" s="266" t="s">
        <v>63</v>
      </c>
      <c r="C150" s="256" t="s">
        <v>654</v>
      </c>
      <c r="D150" s="257" t="s">
        <v>65</v>
      </c>
      <c r="E150" s="257" t="s">
        <v>655</v>
      </c>
      <c r="F150" s="258" t="s">
        <v>656</v>
      </c>
      <c r="G150" s="257" t="s">
        <v>657</v>
      </c>
      <c r="H150" s="257">
        <v>5760.0</v>
      </c>
      <c r="I150" s="257" t="s">
        <v>74</v>
      </c>
      <c r="J150" s="257" t="s">
        <v>348</v>
      </c>
      <c r="K150" s="257" t="s">
        <v>69</v>
      </c>
      <c r="L150" s="259">
        <v>10.0</v>
      </c>
      <c r="M150" s="260">
        <v>10.0</v>
      </c>
      <c r="N150" s="254">
        <v>2014.0</v>
      </c>
      <c r="O150" s="268" t="s">
        <v>658</v>
      </c>
      <c r="P150" s="270" t="s">
        <v>659</v>
      </c>
      <c r="Q150" s="254" t="s">
        <v>85</v>
      </c>
      <c r="R150" s="268" t="s">
        <v>660</v>
      </c>
      <c r="S150" s="254">
        <v>4.0</v>
      </c>
      <c r="T150" s="254">
        <v>5.0</v>
      </c>
      <c r="U150" s="254"/>
      <c r="V150" s="254">
        <v>4.0</v>
      </c>
      <c r="W150" s="254">
        <v>5.0</v>
      </c>
      <c r="X150" s="261">
        <v>1.0</v>
      </c>
      <c r="Y150" s="262">
        <f t="shared" si="98"/>
        <v>9</v>
      </c>
      <c r="Z150" s="64">
        <f t="shared" si="99"/>
        <v>0.4444444444</v>
      </c>
      <c r="AA150" s="254" t="s">
        <v>370</v>
      </c>
      <c r="AB150" s="254" t="s">
        <v>370</v>
      </c>
      <c r="AC150" s="254" t="s">
        <v>370</v>
      </c>
      <c r="AD150" s="254" t="s">
        <v>370</v>
      </c>
      <c r="AE150" s="254" t="s">
        <v>370</v>
      </c>
      <c r="AF150" s="86" t="s">
        <v>370</v>
      </c>
      <c r="AG150" s="68" t="s">
        <v>370</v>
      </c>
      <c r="AH150" s="254" t="s">
        <v>370</v>
      </c>
      <c r="AI150" s="68" t="s">
        <v>370</v>
      </c>
      <c r="AJ150" s="68" t="s">
        <v>370</v>
      </c>
      <c r="AK150" s="68" t="s">
        <v>370</v>
      </c>
      <c r="AL150" s="271" t="s">
        <v>661</v>
      </c>
      <c r="AM150" s="258">
        <v>2014.0</v>
      </c>
      <c r="AN150" s="272" t="s">
        <v>662</v>
      </c>
      <c r="AO150" s="58">
        <v>2021.0</v>
      </c>
      <c r="AP150" s="89" t="s">
        <v>156</v>
      </c>
      <c r="AQ150" s="257"/>
      <c r="AR150" s="89" t="s">
        <v>102</v>
      </c>
      <c r="AS150" s="257"/>
      <c r="AT150" s="257"/>
      <c r="AU150" s="257"/>
      <c r="AV150" s="257"/>
      <c r="AW150" s="257"/>
      <c r="AX150" s="257"/>
      <c r="AY150" s="257"/>
      <c r="AZ150" s="257"/>
      <c r="BA150" s="257"/>
      <c r="BB150" s="264">
        <v>44817.0</v>
      </c>
      <c r="BC150" s="264">
        <v>44817.0</v>
      </c>
      <c r="BD150" s="264">
        <v>44817.0</v>
      </c>
      <c r="BE150" s="264">
        <v>44817.0</v>
      </c>
      <c r="BF150" s="264">
        <v>44817.0</v>
      </c>
      <c r="BG150" s="265"/>
      <c r="BH150" s="257"/>
      <c r="BI150" s="257" t="s">
        <v>129</v>
      </c>
    </row>
    <row r="151" ht="15.75" customHeight="1">
      <c r="A151" s="254" t="s">
        <v>632</v>
      </c>
      <c r="B151" s="266" t="s">
        <v>63</v>
      </c>
      <c r="C151" s="256" t="s">
        <v>663</v>
      </c>
      <c r="D151" s="257" t="s">
        <v>65</v>
      </c>
      <c r="E151" s="257" t="s">
        <v>664</v>
      </c>
      <c r="F151" s="258" t="s">
        <v>665</v>
      </c>
      <c r="G151" s="257"/>
      <c r="H151" s="257">
        <v>5760.0</v>
      </c>
      <c r="I151" s="257" t="s">
        <v>74</v>
      </c>
      <c r="J151" s="257" t="s">
        <v>429</v>
      </c>
      <c r="K151" s="257" t="s">
        <v>69</v>
      </c>
      <c r="L151" s="259">
        <v>1.0</v>
      </c>
      <c r="M151" s="260">
        <v>4.0</v>
      </c>
      <c r="N151" s="254">
        <v>1999.0</v>
      </c>
      <c r="O151" s="268" t="s">
        <v>666</v>
      </c>
      <c r="P151" s="270" t="s">
        <v>667</v>
      </c>
      <c r="Q151" s="254" t="s">
        <v>85</v>
      </c>
      <c r="R151" s="254" t="s">
        <v>218</v>
      </c>
      <c r="S151" s="254">
        <v>5.0</v>
      </c>
      <c r="T151" s="254">
        <v>3.0</v>
      </c>
      <c r="U151" s="254"/>
      <c r="V151" s="254">
        <v>5.0</v>
      </c>
      <c r="W151" s="254">
        <v>2.0</v>
      </c>
      <c r="X151" s="261">
        <v>1.0</v>
      </c>
      <c r="Y151" s="262">
        <f t="shared" si="98"/>
        <v>8</v>
      </c>
      <c r="Z151" s="64">
        <f t="shared" si="99"/>
        <v>0.625</v>
      </c>
      <c r="AA151" s="254" t="s">
        <v>370</v>
      </c>
      <c r="AB151" s="254" t="s">
        <v>370</v>
      </c>
      <c r="AC151" s="254" t="s">
        <v>370</v>
      </c>
      <c r="AD151" s="254" t="s">
        <v>370</v>
      </c>
      <c r="AE151" s="254" t="s">
        <v>370</v>
      </c>
      <c r="AF151" s="86" t="s">
        <v>370</v>
      </c>
      <c r="AG151" s="68" t="s">
        <v>370</v>
      </c>
      <c r="AH151" s="254" t="s">
        <v>370</v>
      </c>
      <c r="AI151" s="68" t="s">
        <v>370</v>
      </c>
      <c r="AJ151" s="68" t="s">
        <v>370</v>
      </c>
      <c r="AK151" s="68" t="s">
        <v>370</v>
      </c>
      <c r="AL151" s="271" t="s">
        <v>668</v>
      </c>
      <c r="AM151" s="258">
        <v>2021.0</v>
      </c>
      <c r="AN151" s="59" t="s">
        <v>155</v>
      </c>
      <c r="AO151" s="58">
        <f>AM151+6</f>
        <v>2027</v>
      </c>
      <c r="AP151" s="102" t="s">
        <v>156</v>
      </c>
      <c r="AQ151" s="257"/>
      <c r="AR151" s="89" t="s">
        <v>102</v>
      </c>
      <c r="AS151" s="257"/>
      <c r="AT151" s="257"/>
      <c r="AU151" s="257"/>
      <c r="AV151" s="257"/>
      <c r="AW151" s="257"/>
      <c r="AX151" s="257"/>
      <c r="AY151" s="257"/>
      <c r="AZ151" s="257"/>
      <c r="BA151" s="257"/>
      <c r="BB151" s="264">
        <v>44817.0</v>
      </c>
      <c r="BC151" s="264">
        <v>44817.0</v>
      </c>
      <c r="BD151" s="264">
        <v>44817.0</v>
      </c>
      <c r="BE151" s="264">
        <v>44817.0</v>
      </c>
      <c r="BF151" s="264">
        <v>44817.0</v>
      </c>
      <c r="BG151" s="265"/>
      <c r="BH151" s="257"/>
      <c r="BI151" s="257" t="s">
        <v>129</v>
      </c>
    </row>
    <row r="152" ht="15.75" customHeight="1">
      <c r="A152" s="254" t="s">
        <v>632</v>
      </c>
      <c r="B152" s="266" t="s">
        <v>63</v>
      </c>
      <c r="C152" s="169" t="s">
        <v>669</v>
      </c>
      <c r="D152" s="257"/>
      <c r="E152" s="257"/>
      <c r="F152" s="258"/>
      <c r="G152" s="257"/>
      <c r="H152" s="257"/>
      <c r="I152" s="257"/>
      <c r="J152" s="257"/>
      <c r="K152" s="257" t="s">
        <v>69</v>
      </c>
      <c r="L152" s="259"/>
      <c r="M152" s="260"/>
      <c r="N152" s="254"/>
      <c r="O152" s="254"/>
      <c r="P152" s="254"/>
      <c r="Q152" s="254"/>
      <c r="R152" s="254"/>
      <c r="S152" s="254"/>
      <c r="T152" s="254"/>
      <c r="U152" s="254"/>
      <c r="V152" s="254"/>
      <c r="W152" s="254"/>
      <c r="X152" s="261"/>
      <c r="Y152" s="262">
        <f t="shared" si="98"/>
        <v>0</v>
      </c>
      <c r="Z152" s="64"/>
      <c r="AA152" s="254"/>
      <c r="AB152" s="254"/>
      <c r="AC152" s="254"/>
      <c r="AD152" s="254"/>
      <c r="AE152" s="254"/>
      <c r="AF152" s="86"/>
      <c r="AG152" s="68"/>
      <c r="AH152" s="254"/>
      <c r="AI152" s="68"/>
      <c r="AJ152" s="68"/>
      <c r="AK152" s="68"/>
      <c r="AL152" s="263"/>
      <c r="AM152" s="258"/>
      <c r="AN152" s="58"/>
      <c r="AO152" s="58"/>
      <c r="AP152" s="102"/>
      <c r="AQ152" s="257"/>
      <c r="AR152" s="89" t="s">
        <v>102</v>
      </c>
      <c r="AS152" s="257"/>
      <c r="AT152" s="257"/>
      <c r="AU152" s="257"/>
      <c r="AV152" s="257"/>
      <c r="AW152" s="257"/>
      <c r="AX152" s="257"/>
      <c r="AY152" s="257"/>
      <c r="AZ152" s="257"/>
      <c r="BA152" s="257"/>
      <c r="BB152" s="264"/>
      <c r="BC152" s="264"/>
      <c r="BD152" s="264"/>
      <c r="BE152" s="264"/>
      <c r="BF152" s="264"/>
      <c r="BG152" s="265"/>
      <c r="BH152" s="257"/>
      <c r="BI152" s="257"/>
    </row>
    <row r="153" ht="15.75" customHeight="1">
      <c r="A153" s="254" t="s">
        <v>632</v>
      </c>
      <c r="B153" s="255" t="s">
        <v>63</v>
      </c>
      <c r="C153" s="169" t="s">
        <v>670</v>
      </c>
      <c r="D153" s="257" t="s">
        <v>65</v>
      </c>
      <c r="E153" s="257" t="s">
        <v>671</v>
      </c>
      <c r="F153" s="258" t="s">
        <v>665</v>
      </c>
      <c r="G153" s="257"/>
      <c r="H153" s="257" t="s">
        <v>672</v>
      </c>
      <c r="I153" s="257"/>
      <c r="J153" s="257" t="s">
        <v>429</v>
      </c>
      <c r="K153" s="257" t="s">
        <v>69</v>
      </c>
      <c r="L153" s="259"/>
      <c r="M153" s="260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61"/>
      <c r="Y153" s="262">
        <f t="shared" si="98"/>
        <v>0</v>
      </c>
      <c r="Z153" s="64" t="str">
        <f t="shared" ref="Z153:Z155" si="106">S153/Y153</f>
        <v>#DIV/0!</v>
      </c>
      <c r="AA153" s="254"/>
      <c r="AB153" s="254"/>
      <c r="AC153" s="254"/>
      <c r="AD153" s="254"/>
      <c r="AE153" s="254"/>
      <c r="AF153" s="86" t="str">
        <f t="shared" ref="AF153:AF155" si="107">DATEDIF(#REF!,#REF!,"M")+1</f>
        <v>#REF!</v>
      </c>
      <c r="AG153" s="68" t="str">
        <f t="shared" ref="AG153:AG155" si="108">LARGE(AS153:BA153,1)*((AA153*AB153)+(AC153*AD153)+(AE153*AF153))</f>
        <v>#NUM!</v>
      </c>
      <c r="AH153" s="254"/>
      <c r="AI153" s="68">
        <f t="shared" ref="AI153:AI155" si="109">AA153*0.2</f>
        <v>0</v>
      </c>
      <c r="AJ153" s="68" t="str">
        <f t="shared" ref="AJ153:AJ155" si="110">AG153*0.025</f>
        <v>#NUM!</v>
      </c>
      <c r="AK153" s="68" t="str">
        <f t="shared" ref="AK153:AK155" si="111">0.03*AG153</f>
        <v>#NUM!</v>
      </c>
      <c r="AL153" s="263" t="s">
        <v>673</v>
      </c>
      <c r="AM153" s="258">
        <v>2014.0</v>
      </c>
      <c r="AN153" s="58"/>
      <c r="AO153" s="58">
        <f t="shared" ref="AO153:AO155" si="112">AM153+6</f>
        <v>2020</v>
      </c>
      <c r="AP153" s="102" t="s">
        <v>88</v>
      </c>
      <c r="AQ153" s="267" t="s">
        <v>63</v>
      </c>
      <c r="AR153" s="89" t="s">
        <v>102</v>
      </c>
      <c r="AS153" s="257"/>
      <c r="AT153" s="257"/>
      <c r="AU153" s="257"/>
      <c r="AV153" s="257"/>
      <c r="AW153" s="257"/>
      <c r="AX153" s="257"/>
      <c r="AY153" s="257"/>
      <c r="AZ153" s="257"/>
      <c r="BA153" s="257"/>
      <c r="BB153" s="264">
        <v>44817.0</v>
      </c>
      <c r="BC153" s="264">
        <v>44817.0</v>
      </c>
      <c r="BD153" s="264">
        <v>44817.0</v>
      </c>
      <c r="BE153" s="264">
        <v>44817.0</v>
      </c>
      <c r="BF153" s="264">
        <v>44817.0</v>
      </c>
      <c r="BG153" s="265"/>
      <c r="BH153" s="257"/>
      <c r="BI153" s="257" t="s">
        <v>129</v>
      </c>
    </row>
    <row r="154" ht="15.75" customHeight="1">
      <c r="A154" s="254" t="s">
        <v>632</v>
      </c>
      <c r="B154" s="266" t="s">
        <v>63</v>
      </c>
      <c r="C154" s="256" t="s">
        <v>674</v>
      </c>
      <c r="D154" s="257" t="s">
        <v>65</v>
      </c>
      <c r="E154" s="257" t="s">
        <v>675</v>
      </c>
      <c r="F154" s="258" t="s">
        <v>676</v>
      </c>
      <c r="G154" s="257"/>
      <c r="H154" s="257">
        <v>5760.0</v>
      </c>
      <c r="I154" s="257"/>
      <c r="J154" s="257" t="s">
        <v>348</v>
      </c>
      <c r="K154" s="257" t="s">
        <v>69</v>
      </c>
      <c r="L154" s="259"/>
      <c r="M154" s="260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61"/>
      <c r="Y154" s="262">
        <f t="shared" si="98"/>
        <v>0</v>
      </c>
      <c r="Z154" s="64" t="str">
        <f t="shared" si="106"/>
        <v>#DIV/0!</v>
      </c>
      <c r="AA154" s="254"/>
      <c r="AB154" s="254"/>
      <c r="AC154" s="254"/>
      <c r="AD154" s="254"/>
      <c r="AE154" s="254"/>
      <c r="AF154" s="86" t="str">
        <f t="shared" si="107"/>
        <v>#REF!</v>
      </c>
      <c r="AG154" s="68" t="str">
        <f t="shared" si="108"/>
        <v>#NUM!</v>
      </c>
      <c r="AH154" s="254"/>
      <c r="AI154" s="68">
        <f t="shared" si="109"/>
        <v>0</v>
      </c>
      <c r="AJ154" s="68" t="str">
        <f t="shared" si="110"/>
        <v>#NUM!</v>
      </c>
      <c r="AK154" s="68" t="str">
        <f t="shared" si="111"/>
        <v>#NUM!</v>
      </c>
      <c r="AL154" s="263" t="s">
        <v>677</v>
      </c>
      <c r="AM154" s="258">
        <v>2014.0</v>
      </c>
      <c r="AN154" s="58"/>
      <c r="AO154" s="58">
        <f t="shared" si="112"/>
        <v>2020</v>
      </c>
      <c r="AP154" s="102" t="s">
        <v>88</v>
      </c>
      <c r="AQ154" s="267" t="s">
        <v>63</v>
      </c>
      <c r="AR154" s="89" t="s">
        <v>102</v>
      </c>
      <c r="AS154" s="257"/>
      <c r="AT154" s="257"/>
      <c r="AU154" s="257"/>
      <c r="AV154" s="257"/>
      <c r="AW154" s="257"/>
      <c r="AX154" s="257"/>
      <c r="AY154" s="257"/>
      <c r="AZ154" s="257"/>
      <c r="BA154" s="257"/>
      <c r="BB154" s="264">
        <v>44817.0</v>
      </c>
      <c r="BC154" s="264">
        <v>44817.0</v>
      </c>
      <c r="BD154" s="264">
        <v>44817.0</v>
      </c>
      <c r="BE154" s="264">
        <v>44817.0</v>
      </c>
      <c r="BF154" s="264">
        <v>44817.0</v>
      </c>
      <c r="BG154" s="265"/>
      <c r="BH154" s="257"/>
      <c r="BI154" s="257" t="s">
        <v>129</v>
      </c>
    </row>
    <row r="155" ht="15.75" customHeight="1">
      <c r="A155" s="254" t="s">
        <v>632</v>
      </c>
      <c r="B155" s="266" t="s">
        <v>63</v>
      </c>
      <c r="C155" s="256" t="s">
        <v>678</v>
      </c>
      <c r="D155" s="257" t="s">
        <v>65</v>
      </c>
      <c r="E155" s="257" t="s">
        <v>535</v>
      </c>
      <c r="F155" s="258" t="s">
        <v>679</v>
      </c>
      <c r="G155" s="257"/>
      <c r="H155" s="257">
        <v>5760.0</v>
      </c>
      <c r="I155" s="257"/>
      <c r="J155" s="257" t="s">
        <v>429</v>
      </c>
      <c r="K155" s="257" t="s">
        <v>69</v>
      </c>
      <c r="L155" s="259"/>
      <c r="M155" s="260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61"/>
      <c r="Y155" s="262">
        <f t="shared" si="98"/>
        <v>0</v>
      </c>
      <c r="Z155" s="64" t="str">
        <f t="shared" si="106"/>
        <v>#DIV/0!</v>
      </c>
      <c r="AA155" s="254"/>
      <c r="AB155" s="254"/>
      <c r="AC155" s="254"/>
      <c r="AD155" s="254"/>
      <c r="AE155" s="254"/>
      <c r="AF155" s="86" t="str">
        <f t="shared" si="107"/>
        <v>#REF!</v>
      </c>
      <c r="AG155" s="68" t="str">
        <f t="shared" si="108"/>
        <v>#NUM!</v>
      </c>
      <c r="AH155" s="254"/>
      <c r="AI155" s="68">
        <f t="shared" si="109"/>
        <v>0</v>
      </c>
      <c r="AJ155" s="68" t="str">
        <f t="shared" si="110"/>
        <v>#NUM!</v>
      </c>
      <c r="AK155" s="68" t="str">
        <f t="shared" si="111"/>
        <v>#NUM!</v>
      </c>
      <c r="AL155" s="263" t="s">
        <v>680</v>
      </c>
      <c r="AM155" s="258">
        <v>2015.0</v>
      </c>
      <c r="AN155" s="272" t="s">
        <v>681</v>
      </c>
      <c r="AO155" s="58">
        <f t="shared" si="112"/>
        <v>2021</v>
      </c>
      <c r="AP155" s="102" t="s">
        <v>88</v>
      </c>
      <c r="AQ155" s="267" t="s">
        <v>63</v>
      </c>
      <c r="AR155" s="89" t="s">
        <v>102</v>
      </c>
      <c r="AS155" s="257"/>
      <c r="AT155" s="257"/>
      <c r="AU155" s="257"/>
      <c r="AV155" s="257"/>
      <c r="AW155" s="257"/>
      <c r="AX155" s="257"/>
      <c r="AY155" s="257"/>
      <c r="AZ155" s="257"/>
      <c r="BA155" s="257"/>
      <c r="BB155" s="264">
        <v>44817.0</v>
      </c>
      <c r="BC155" s="264">
        <v>44817.0</v>
      </c>
      <c r="BD155" s="264">
        <v>44817.0</v>
      </c>
      <c r="BE155" s="264">
        <v>44817.0</v>
      </c>
      <c r="BF155" s="264">
        <v>44817.0</v>
      </c>
      <c r="BG155" s="265"/>
      <c r="BH155" s="257"/>
      <c r="BI155" s="257" t="s">
        <v>129</v>
      </c>
    </row>
    <row r="156" ht="15.75" customHeight="1">
      <c r="A156" s="254" t="s">
        <v>632</v>
      </c>
      <c r="B156" s="266" t="s">
        <v>63</v>
      </c>
      <c r="C156" s="256" t="s">
        <v>682</v>
      </c>
      <c r="D156" s="257" t="s">
        <v>65</v>
      </c>
      <c r="E156" s="257" t="s">
        <v>683</v>
      </c>
      <c r="F156" s="258"/>
      <c r="G156" s="257"/>
      <c r="H156" s="257">
        <v>5760.0</v>
      </c>
      <c r="I156" s="257" t="s">
        <v>74</v>
      </c>
      <c r="J156" s="257" t="s">
        <v>429</v>
      </c>
      <c r="K156" s="257" t="s">
        <v>69</v>
      </c>
      <c r="L156" s="259">
        <v>2.0</v>
      </c>
      <c r="M156" s="260">
        <v>4.0</v>
      </c>
      <c r="N156" s="254"/>
      <c r="O156" s="254"/>
      <c r="P156" s="254"/>
      <c r="Q156" s="254"/>
      <c r="R156" s="254"/>
      <c r="S156" s="254"/>
      <c r="T156" s="254"/>
      <c r="U156" s="254"/>
      <c r="V156" s="254"/>
      <c r="W156" s="254"/>
      <c r="X156" s="261"/>
      <c r="Y156" s="262"/>
      <c r="Z156" s="64"/>
      <c r="AA156" s="254"/>
      <c r="AB156" s="254"/>
      <c r="AC156" s="254"/>
      <c r="AD156" s="254"/>
      <c r="AE156" s="254"/>
      <c r="AF156" s="86"/>
      <c r="AG156" s="68"/>
      <c r="AH156" s="254"/>
      <c r="AI156" s="68"/>
      <c r="AJ156" s="68"/>
      <c r="AK156" s="68"/>
      <c r="AL156" s="263"/>
      <c r="AM156" s="258"/>
      <c r="AN156" s="273"/>
      <c r="AO156" s="58"/>
      <c r="AP156" s="102"/>
      <c r="AQ156" s="267"/>
      <c r="AR156" s="89"/>
      <c r="AS156" s="257"/>
      <c r="AT156" s="257"/>
      <c r="AU156" s="257"/>
      <c r="AV156" s="257"/>
      <c r="AW156" s="257"/>
      <c r="AX156" s="257"/>
      <c r="AY156" s="257"/>
      <c r="AZ156" s="257"/>
      <c r="BA156" s="257"/>
      <c r="BB156" s="264"/>
      <c r="BC156" s="264"/>
      <c r="BD156" s="264"/>
      <c r="BE156" s="264"/>
      <c r="BF156" s="264"/>
      <c r="BG156" s="265"/>
      <c r="BH156" s="257"/>
      <c r="BI156" s="257"/>
    </row>
    <row r="157" ht="15.75" customHeight="1">
      <c r="A157" s="254" t="s">
        <v>632</v>
      </c>
      <c r="B157" s="266" t="s">
        <v>63</v>
      </c>
      <c r="C157" s="256" t="s">
        <v>684</v>
      </c>
      <c r="D157" s="257" t="s">
        <v>685</v>
      </c>
      <c r="E157" s="257" t="s">
        <v>686</v>
      </c>
      <c r="F157" s="258"/>
      <c r="G157" s="257"/>
      <c r="H157" s="257">
        <v>372.0</v>
      </c>
      <c r="I157" s="257" t="s">
        <v>67</v>
      </c>
      <c r="J157" s="257" t="s">
        <v>68</v>
      </c>
      <c r="K157" s="257" t="s">
        <v>69</v>
      </c>
      <c r="L157" s="259">
        <v>30.0</v>
      </c>
      <c r="M157" s="260">
        <v>40.0</v>
      </c>
      <c r="N157" s="254"/>
      <c r="O157" s="254"/>
      <c r="P157" s="254"/>
      <c r="Q157" s="254"/>
      <c r="R157" s="254"/>
      <c r="S157" s="254"/>
      <c r="T157" s="254"/>
      <c r="U157" s="254"/>
      <c r="V157" s="254"/>
      <c r="W157" s="254"/>
      <c r="X157" s="261"/>
      <c r="Y157" s="262"/>
      <c r="Z157" s="64"/>
      <c r="AA157" s="254"/>
      <c r="AB157" s="254"/>
      <c r="AC157" s="254"/>
      <c r="AD157" s="254"/>
      <c r="AE157" s="254"/>
      <c r="AF157" s="86"/>
      <c r="AG157" s="68"/>
      <c r="AH157" s="254"/>
      <c r="AI157" s="68"/>
      <c r="AJ157" s="68"/>
      <c r="AK157" s="68"/>
      <c r="AL157" s="263"/>
      <c r="AM157" s="258"/>
      <c r="AN157" s="273"/>
      <c r="AO157" s="58"/>
      <c r="AP157" s="102"/>
      <c r="AQ157" s="267"/>
      <c r="AR157" s="89"/>
      <c r="AS157" s="257"/>
      <c r="AT157" s="257"/>
      <c r="AU157" s="257"/>
      <c r="AV157" s="257"/>
      <c r="AW157" s="257"/>
      <c r="AX157" s="257"/>
      <c r="AY157" s="257"/>
      <c r="AZ157" s="257"/>
      <c r="BA157" s="257"/>
      <c r="BB157" s="264"/>
      <c r="BC157" s="264"/>
      <c r="BD157" s="264"/>
      <c r="BE157" s="264"/>
      <c r="BF157" s="264"/>
      <c r="BG157" s="265"/>
      <c r="BH157" s="257"/>
      <c r="BI157" s="257"/>
    </row>
    <row r="158" ht="15.75" customHeight="1">
      <c r="A158" s="254" t="s">
        <v>632</v>
      </c>
      <c r="B158" s="266" t="s">
        <v>63</v>
      </c>
      <c r="C158" s="256" t="s">
        <v>687</v>
      </c>
      <c r="D158" s="257" t="s">
        <v>685</v>
      </c>
      <c r="E158" s="257" t="s">
        <v>644</v>
      </c>
      <c r="F158" s="258"/>
      <c r="G158" s="257"/>
      <c r="H158" s="257">
        <v>360.0</v>
      </c>
      <c r="I158" s="257" t="s">
        <v>67</v>
      </c>
      <c r="J158" s="257" t="s">
        <v>68</v>
      </c>
      <c r="K158" s="257" t="s">
        <v>69</v>
      </c>
      <c r="L158" s="259">
        <v>35.0</v>
      </c>
      <c r="M158" s="260">
        <v>40.0</v>
      </c>
      <c r="N158" s="254"/>
      <c r="O158" s="254"/>
      <c r="P158" s="254"/>
      <c r="Q158" s="254"/>
      <c r="R158" s="254"/>
      <c r="S158" s="254"/>
      <c r="T158" s="254"/>
      <c r="U158" s="254"/>
      <c r="V158" s="254"/>
      <c r="W158" s="254"/>
      <c r="X158" s="261"/>
      <c r="Y158" s="262"/>
      <c r="Z158" s="64"/>
      <c r="AA158" s="254"/>
      <c r="AB158" s="254"/>
      <c r="AC158" s="254"/>
      <c r="AD158" s="254"/>
      <c r="AE158" s="254"/>
      <c r="AF158" s="86"/>
      <c r="AG158" s="68"/>
      <c r="AH158" s="254"/>
      <c r="AI158" s="68"/>
      <c r="AJ158" s="68"/>
      <c r="AK158" s="68"/>
      <c r="AL158" s="263"/>
      <c r="AM158" s="258"/>
      <c r="AN158" s="273"/>
      <c r="AO158" s="58"/>
      <c r="AP158" s="102"/>
      <c r="AQ158" s="267"/>
      <c r="AR158" s="89"/>
      <c r="AS158" s="257"/>
      <c r="AT158" s="257"/>
      <c r="AU158" s="257"/>
      <c r="AV158" s="257"/>
      <c r="AW158" s="257"/>
      <c r="AX158" s="257"/>
      <c r="AY158" s="257"/>
      <c r="AZ158" s="257"/>
      <c r="BA158" s="257"/>
      <c r="BB158" s="264"/>
      <c r="BC158" s="264"/>
      <c r="BD158" s="264"/>
      <c r="BE158" s="264"/>
      <c r="BF158" s="264"/>
      <c r="BG158" s="265"/>
      <c r="BH158" s="257"/>
      <c r="BI158" s="257"/>
    </row>
    <row r="159" ht="15.75" customHeight="1">
      <c r="A159" s="274" t="s">
        <v>688</v>
      </c>
      <c r="B159" s="275" t="s">
        <v>63</v>
      </c>
      <c r="C159" s="276" t="s">
        <v>689</v>
      </c>
      <c r="D159" s="277" t="s">
        <v>72</v>
      </c>
      <c r="E159" s="277" t="s">
        <v>129</v>
      </c>
      <c r="F159" s="277"/>
      <c r="G159" s="277"/>
      <c r="H159" s="278">
        <v>360.0</v>
      </c>
      <c r="I159" s="277"/>
      <c r="J159" s="277" t="s">
        <v>68</v>
      </c>
      <c r="K159" s="277" t="s">
        <v>97</v>
      </c>
      <c r="L159" s="279"/>
      <c r="M159" s="280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81"/>
      <c r="Y159" s="262">
        <f t="shared" ref="Y159:Y161" si="113">SUM(S159:T159)</f>
        <v>0</v>
      </c>
      <c r="Z159" s="64" t="str">
        <f t="shared" ref="Z159:Z161" si="114">S159/Y159</f>
        <v>#DIV/0!</v>
      </c>
      <c r="AA159" s="274"/>
      <c r="AB159" s="274"/>
      <c r="AC159" s="274"/>
      <c r="AD159" s="274"/>
      <c r="AE159" s="274"/>
      <c r="AF159" s="86" t="str">
        <f t="shared" ref="AF159:AF160" si="115">DATEDIF(#REF!,#REF!,"M")+1</f>
        <v>#REF!</v>
      </c>
      <c r="AG159" s="68" t="str">
        <f t="shared" ref="AG159:AG160" si="116">LARGE(AS159:BA159,1)*((AA159*AB159)+(AC159*AD159)+(AE159*AF159))</f>
        <v>#NUM!</v>
      </c>
      <c r="AH159" s="274"/>
      <c r="AI159" s="68">
        <f t="shared" ref="AI159:AI160" si="117">AA159*0.2</f>
        <v>0</v>
      </c>
      <c r="AJ159" s="68" t="str">
        <f t="shared" ref="AJ159:AJ160" si="118">AG159*0.025</f>
        <v>#NUM!</v>
      </c>
      <c r="AK159" s="68" t="str">
        <f t="shared" ref="AK159:AK160" si="119">0.03*AG159</f>
        <v>#NUM!</v>
      </c>
      <c r="AL159" s="282" t="s">
        <v>690</v>
      </c>
      <c r="AM159" s="283">
        <v>2019.0</v>
      </c>
      <c r="AN159" s="58"/>
      <c r="AO159" s="58">
        <f t="shared" ref="AO159:AO161" si="120">AM159+6</f>
        <v>2025</v>
      </c>
      <c r="AP159" s="102" t="s">
        <v>156</v>
      </c>
      <c r="AQ159" s="277"/>
      <c r="AR159" s="89" t="s">
        <v>121</v>
      </c>
      <c r="AS159" s="277"/>
      <c r="AT159" s="277"/>
      <c r="AU159" s="277"/>
      <c r="AV159" s="277"/>
      <c r="AW159" s="277"/>
      <c r="AX159" s="277"/>
      <c r="AY159" s="277"/>
      <c r="AZ159" s="277"/>
      <c r="BA159" s="277"/>
      <c r="BB159" s="284">
        <v>44817.0</v>
      </c>
      <c r="BC159" s="284">
        <v>44817.0</v>
      </c>
      <c r="BD159" s="284">
        <v>44817.0</v>
      </c>
      <c r="BE159" s="284">
        <v>44817.0</v>
      </c>
      <c r="BF159" s="284">
        <v>44817.0</v>
      </c>
      <c r="BG159" s="285"/>
      <c r="BH159" s="277"/>
      <c r="BI159" s="282" t="s">
        <v>63</v>
      </c>
    </row>
    <row r="160" ht="15.75" customHeight="1">
      <c r="A160" s="274" t="s">
        <v>688</v>
      </c>
      <c r="B160" s="275" t="s">
        <v>63</v>
      </c>
      <c r="C160" s="276" t="s">
        <v>691</v>
      </c>
      <c r="D160" s="277" t="s">
        <v>295</v>
      </c>
      <c r="E160" s="277" t="s">
        <v>129</v>
      </c>
      <c r="F160" s="277"/>
      <c r="G160" s="277"/>
      <c r="H160" s="278">
        <v>360.0</v>
      </c>
      <c r="I160" s="277"/>
      <c r="J160" s="277" t="s">
        <v>68</v>
      </c>
      <c r="K160" s="277" t="s">
        <v>69</v>
      </c>
      <c r="L160" s="279"/>
      <c r="M160" s="280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81"/>
      <c r="Y160" s="262">
        <f t="shared" si="113"/>
        <v>0</v>
      </c>
      <c r="Z160" s="64" t="str">
        <f t="shared" si="114"/>
        <v>#DIV/0!</v>
      </c>
      <c r="AA160" s="274"/>
      <c r="AB160" s="274"/>
      <c r="AC160" s="274"/>
      <c r="AD160" s="274"/>
      <c r="AE160" s="274"/>
      <c r="AF160" s="86" t="str">
        <f t="shared" si="115"/>
        <v>#REF!</v>
      </c>
      <c r="AG160" s="68" t="str">
        <f t="shared" si="116"/>
        <v>#NUM!</v>
      </c>
      <c r="AH160" s="274"/>
      <c r="AI160" s="68">
        <f t="shared" si="117"/>
        <v>0</v>
      </c>
      <c r="AJ160" s="68" t="str">
        <f t="shared" si="118"/>
        <v>#NUM!</v>
      </c>
      <c r="AK160" s="68" t="str">
        <f t="shared" si="119"/>
        <v>#NUM!</v>
      </c>
      <c r="AL160" s="282" t="s">
        <v>692</v>
      </c>
      <c r="AM160" s="283">
        <v>2019.0</v>
      </c>
      <c r="AN160" s="58"/>
      <c r="AO160" s="58">
        <f t="shared" si="120"/>
        <v>2025</v>
      </c>
      <c r="AP160" s="102" t="s">
        <v>156</v>
      </c>
      <c r="AQ160" s="277"/>
      <c r="AR160" s="89" t="s">
        <v>121</v>
      </c>
      <c r="AS160" s="277"/>
      <c r="AT160" s="277"/>
      <c r="AU160" s="277"/>
      <c r="AV160" s="277"/>
      <c r="AW160" s="277"/>
      <c r="AX160" s="277"/>
      <c r="AY160" s="277"/>
      <c r="AZ160" s="277"/>
      <c r="BA160" s="277"/>
      <c r="BB160" s="284">
        <v>44817.0</v>
      </c>
      <c r="BC160" s="284">
        <v>44817.0</v>
      </c>
      <c r="BD160" s="284">
        <v>44817.0</v>
      </c>
      <c r="BE160" s="284">
        <v>44817.0</v>
      </c>
      <c r="BF160" s="284">
        <v>44817.0</v>
      </c>
      <c r="BG160" s="285"/>
      <c r="BH160" s="277"/>
      <c r="BI160" s="277" t="s">
        <v>129</v>
      </c>
    </row>
    <row r="161" ht="60.0" customHeight="1">
      <c r="A161" s="274" t="s">
        <v>688</v>
      </c>
      <c r="B161" s="275" t="s">
        <v>63</v>
      </c>
      <c r="C161" s="276" t="s">
        <v>693</v>
      </c>
      <c r="D161" s="277" t="s">
        <v>295</v>
      </c>
      <c r="E161" s="277" t="s">
        <v>694</v>
      </c>
      <c r="F161" s="277"/>
      <c r="G161" s="277"/>
      <c r="H161" s="278">
        <v>360.0</v>
      </c>
      <c r="I161" s="277" t="s">
        <v>74</v>
      </c>
      <c r="J161" s="277" t="s">
        <v>68</v>
      </c>
      <c r="K161" s="277" t="s">
        <v>695</v>
      </c>
      <c r="L161" s="279">
        <v>35.0</v>
      </c>
      <c r="M161" s="280">
        <v>50.0</v>
      </c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81"/>
      <c r="Y161" s="262">
        <f t="shared" si="113"/>
        <v>0</v>
      </c>
      <c r="Z161" s="64" t="str">
        <f t="shared" si="114"/>
        <v>#DIV/0!</v>
      </c>
      <c r="AA161" s="286"/>
      <c r="AB161" s="274"/>
      <c r="AC161" s="286"/>
      <c r="AD161" s="274"/>
      <c r="AE161" s="286"/>
      <c r="AF161" s="86"/>
      <c r="AG161" s="68"/>
      <c r="AH161" s="286"/>
      <c r="AI161" s="68"/>
      <c r="AJ161" s="68"/>
      <c r="AK161" s="68">
        <f>0.05*AG161</f>
        <v>0</v>
      </c>
      <c r="AL161" s="282" t="s">
        <v>696</v>
      </c>
      <c r="AM161" s="283">
        <v>2021.0</v>
      </c>
      <c r="AN161" s="58"/>
      <c r="AO161" s="58">
        <f t="shared" si="120"/>
        <v>2027</v>
      </c>
      <c r="AP161" s="102" t="s">
        <v>156</v>
      </c>
      <c r="AQ161" s="277"/>
      <c r="AR161" s="89" t="s">
        <v>102</v>
      </c>
      <c r="AS161" s="277"/>
      <c r="AT161" s="277"/>
      <c r="AU161" s="277"/>
      <c r="AV161" s="277"/>
      <c r="AW161" s="277"/>
      <c r="AX161" s="277"/>
      <c r="AY161" s="277"/>
      <c r="AZ161" s="277"/>
      <c r="BA161" s="277"/>
      <c r="BB161" s="284">
        <v>44817.0</v>
      </c>
      <c r="BC161" s="284">
        <v>44817.0</v>
      </c>
      <c r="BD161" s="284">
        <v>44817.0</v>
      </c>
      <c r="BE161" s="284">
        <v>44817.0</v>
      </c>
      <c r="BF161" s="284">
        <v>44817.0</v>
      </c>
      <c r="BG161" s="285"/>
      <c r="BH161" s="277"/>
      <c r="BI161" s="277" t="s">
        <v>129</v>
      </c>
    </row>
    <row r="162" ht="60.0" customHeight="1">
      <c r="A162" s="274" t="s">
        <v>688</v>
      </c>
      <c r="B162" s="275" t="s">
        <v>63</v>
      </c>
      <c r="C162" s="276" t="s">
        <v>697</v>
      </c>
      <c r="D162" s="277" t="s">
        <v>295</v>
      </c>
      <c r="E162" s="277" t="s">
        <v>694</v>
      </c>
      <c r="F162" s="277"/>
      <c r="G162" s="277"/>
      <c r="H162" s="278">
        <v>465.0</v>
      </c>
      <c r="I162" s="277" t="s">
        <v>74</v>
      </c>
      <c r="J162" s="277" t="s">
        <v>68</v>
      </c>
      <c r="K162" s="277" t="s">
        <v>97</v>
      </c>
      <c r="L162" s="279">
        <v>50.0</v>
      </c>
      <c r="M162" s="280">
        <v>150.0</v>
      </c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81"/>
      <c r="Y162" s="262"/>
      <c r="Z162" s="64"/>
      <c r="AA162" s="286"/>
      <c r="AB162" s="274"/>
      <c r="AC162" s="286"/>
      <c r="AD162" s="274"/>
      <c r="AE162" s="286"/>
      <c r="AF162" s="86"/>
      <c r="AG162" s="68"/>
      <c r="AH162" s="286"/>
      <c r="AI162" s="68"/>
      <c r="AJ162" s="68"/>
      <c r="AK162" s="68"/>
      <c r="AL162" s="282"/>
      <c r="AM162" s="283"/>
      <c r="AN162" s="58"/>
      <c r="AO162" s="58"/>
      <c r="AP162" s="102"/>
      <c r="AQ162" s="277"/>
      <c r="AR162" s="89"/>
      <c r="AS162" s="277"/>
      <c r="AT162" s="277"/>
      <c r="AU162" s="277"/>
      <c r="AV162" s="277"/>
      <c r="AW162" s="277"/>
      <c r="AX162" s="277"/>
      <c r="AY162" s="277"/>
      <c r="AZ162" s="277"/>
      <c r="BA162" s="277"/>
      <c r="BB162" s="284"/>
      <c r="BC162" s="284"/>
      <c r="BD162" s="284"/>
      <c r="BE162" s="284"/>
      <c r="BF162" s="284"/>
      <c r="BG162" s="285"/>
      <c r="BH162" s="277"/>
      <c r="BI162" s="277"/>
    </row>
    <row r="163" ht="60.0" customHeight="1">
      <c r="A163" s="274" t="s">
        <v>688</v>
      </c>
      <c r="B163" s="275" t="s">
        <v>63</v>
      </c>
      <c r="C163" s="276" t="s">
        <v>698</v>
      </c>
      <c r="D163" s="277"/>
      <c r="E163" s="277" t="s">
        <v>129</v>
      </c>
      <c r="F163" s="277" t="s">
        <v>129</v>
      </c>
      <c r="G163" s="277"/>
      <c r="H163" s="277">
        <v>360.0</v>
      </c>
      <c r="I163" s="277"/>
      <c r="J163" s="277" t="s">
        <v>68</v>
      </c>
      <c r="K163" s="277" t="s">
        <v>97</v>
      </c>
      <c r="L163" s="279"/>
      <c r="M163" s="280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81"/>
      <c r="Y163" s="262">
        <f t="shared" ref="Y163:Y178" si="121">SUM(S163:T163)</f>
        <v>0</v>
      </c>
      <c r="Z163" s="64" t="str">
        <f t="shared" ref="Z163:Z178" si="122">S163/Y163</f>
        <v>#DIV/0!</v>
      </c>
      <c r="AA163" s="274"/>
      <c r="AB163" s="274"/>
      <c r="AC163" s="274"/>
      <c r="AD163" s="274"/>
      <c r="AE163" s="274"/>
      <c r="AF163" s="86" t="str">
        <f t="shared" ref="AF163:AF178" si="123">DATEDIF(#REF!,#REF!,"M")+1</f>
        <v>#REF!</v>
      </c>
      <c r="AG163" s="68" t="str">
        <f t="shared" ref="AG163:AG178" si="124">LARGE(AS163:BA163,1)*((AA163*AB163)+(AC163*AD163)+(AE163*AF163))</f>
        <v>#NUM!</v>
      </c>
      <c r="AH163" s="274"/>
      <c r="AI163" s="68">
        <f t="shared" ref="AI163:AI178" si="125">AA163*0.2</f>
        <v>0</v>
      </c>
      <c r="AJ163" s="68" t="str">
        <f t="shared" ref="AJ163:AJ178" si="126">AG163*0.025</f>
        <v>#NUM!</v>
      </c>
      <c r="AK163" s="68" t="str">
        <f t="shared" ref="AK163:AK178" si="127">0.03*AG163</f>
        <v>#NUM!</v>
      </c>
      <c r="AL163" s="282" t="s">
        <v>699</v>
      </c>
      <c r="AM163" s="283">
        <v>2018.0</v>
      </c>
      <c r="AN163" s="58"/>
      <c r="AO163" s="58">
        <f t="shared" ref="AO163:AO178" si="128">AM163+6</f>
        <v>2024</v>
      </c>
      <c r="AP163" s="102" t="s">
        <v>156</v>
      </c>
      <c r="AQ163" s="277"/>
      <c r="AR163" s="89" t="s">
        <v>121</v>
      </c>
      <c r="AS163" s="277"/>
      <c r="AT163" s="277"/>
      <c r="AU163" s="277"/>
      <c r="AV163" s="277"/>
      <c r="AW163" s="277"/>
      <c r="AX163" s="277"/>
      <c r="AY163" s="277"/>
      <c r="AZ163" s="277"/>
      <c r="BA163" s="277"/>
      <c r="BB163" s="284">
        <v>44817.0</v>
      </c>
      <c r="BC163" s="284">
        <v>44817.0</v>
      </c>
      <c r="BD163" s="284">
        <v>44817.0</v>
      </c>
      <c r="BE163" s="284">
        <v>44817.0</v>
      </c>
      <c r="BF163" s="284">
        <v>44817.0</v>
      </c>
      <c r="BG163" s="285"/>
      <c r="BH163" s="277"/>
      <c r="BI163" s="277" t="s">
        <v>129</v>
      </c>
    </row>
    <row r="164" ht="60.0" customHeight="1">
      <c r="A164" s="274" t="s">
        <v>688</v>
      </c>
      <c r="B164" s="275" t="s">
        <v>63</v>
      </c>
      <c r="C164" s="276" t="s">
        <v>700</v>
      </c>
      <c r="D164" s="277" t="s">
        <v>701</v>
      </c>
      <c r="E164" s="277" t="s">
        <v>129</v>
      </c>
      <c r="F164" s="277"/>
      <c r="G164" s="277"/>
      <c r="H164" s="278">
        <v>360.0</v>
      </c>
      <c r="I164" s="277"/>
      <c r="J164" s="277" t="s">
        <v>68</v>
      </c>
      <c r="K164" s="277" t="s">
        <v>69</v>
      </c>
      <c r="L164" s="279"/>
      <c r="M164" s="280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81"/>
      <c r="Y164" s="262">
        <f t="shared" si="121"/>
        <v>0</v>
      </c>
      <c r="Z164" s="64" t="str">
        <f t="shared" si="122"/>
        <v>#DIV/0!</v>
      </c>
      <c r="AA164" s="274"/>
      <c r="AB164" s="274"/>
      <c r="AC164" s="274"/>
      <c r="AD164" s="274"/>
      <c r="AE164" s="274"/>
      <c r="AF164" s="86" t="str">
        <f t="shared" si="123"/>
        <v>#REF!</v>
      </c>
      <c r="AG164" s="68" t="str">
        <f t="shared" si="124"/>
        <v>#NUM!</v>
      </c>
      <c r="AH164" s="274"/>
      <c r="AI164" s="68">
        <f t="shared" si="125"/>
        <v>0</v>
      </c>
      <c r="AJ164" s="68" t="str">
        <f t="shared" si="126"/>
        <v>#NUM!</v>
      </c>
      <c r="AK164" s="68" t="str">
        <f t="shared" si="127"/>
        <v>#NUM!</v>
      </c>
      <c r="AL164" s="282" t="s">
        <v>702</v>
      </c>
      <c r="AM164" s="283">
        <v>2016.0</v>
      </c>
      <c r="AN164" s="58"/>
      <c r="AO164" s="58">
        <f t="shared" si="128"/>
        <v>2022</v>
      </c>
      <c r="AP164" s="102" t="s">
        <v>156</v>
      </c>
      <c r="AQ164" s="277"/>
      <c r="AR164" s="89" t="s">
        <v>121</v>
      </c>
      <c r="AS164" s="277"/>
      <c r="AT164" s="277"/>
      <c r="AU164" s="277"/>
      <c r="AV164" s="277"/>
      <c r="AW164" s="277"/>
      <c r="AX164" s="277"/>
      <c r="AY164" s="277"/>
      <c r="AZ164" s="277"/>
      <c r="BA164" s="277"/>
      <c r="BB164" s="284">
        <v>44817.0</v>
      </c>
      <c r="BC164" s="284">
        <v>44817.0</v>
      </c>
      <c r="BD164" s="284">
        <v>44817.0</v>
      </c>
      <c r="BE164" s="284">
        <v>44817.0</v>
      </c>
      <c r="BF164" s="284">
        <v>44817.0</v>
      </c>
      <c r="BG164" s="285"/>
      <c r="BH164" s="277"/>
      <c r="BI164" s="277" t="s">
        <v>129</v>
      </c>
    </row>
    <row r="165" ht="60.0" customHeight="1">
      <c r="A165" s="274" t="s">
        <v>688</v>
      </c>
      <c r="B165" s="275" t="s">
        <v>63</v>
      </c>
      <c r="C165" s="276" t="s">
        <v>703</v>
      </c>
      <c r="D165" s="277" t="s">
        <v>72</v>
      </c>
      <c r="E165" s="277" t="s">
        <v>129</v>
      </c>
      <c r="F165" s="277"/>
      <c r="G165" s="277"/>
      <c r="H165" s="278">
        <v>360.0</v>
      </c>
      <c r="I165" s="277"/>
      <c r="J165" s="277" t="s">
        <v>68</v>
      </c>
      <c r="K165" s="277" t="s">
        <v>69</v>
      </c>
      <c r="L165" s="279"/>
      <c r="M165" s="280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81"/>
      <c r="Y165" s="262">
        <f t="shared" si="121"/>
        <v>0</v>
      </c>
      <c r="Z165" s="64" t="str">
        <f t="shared" si="122"/>
        <v>#DIV/0!</v>
      </c>
      <c r="AA165" s="274"/>
      <c r="AB165" s="274"/>
      <c r="AC165" s="274"/>
      <c r="AD165" s="274"/>
      <c r="AE165" s="274"/>
      <c r="AF165" s="86" t="str">
        <f t="shared" si="123"/>
        <v>#REF!</v>
      </c>
      <c r="AG165" s="68" t="str">
        <f t="shared" si="124"/>
        <v>#NUM!</v>
      </c>
      <c r="AH165" s="274"/>
      <c r="AI165" s="68">
        <f t="shared" si="125"/>
        <v>0</v>
      </c>
      <c r="AJ165" s="68" t="str">
        <f t="shared" si="126"/>
        <v>#NUM!</v>
      </c>
      <c r="AK165" s="68" t="str">
        <f t="shared" si="127"/>
        <v>#NUM!</v>
      </c>
      <c r="AL165" s="282" t="s">
        <v>704</v>
      </c>
      <c r="AM165" s="283">
        <v>2016.0</v>
      </c>
      <c r="AN165" s="58"/>
      <c r="AO165" s="58">
        <f t="shared" si="128"/>
        <v>2022</v>
      </c>
      <c r="AP165" s="102" t="s">
        <v>156</v>
      </c>
      <c r="AQ165" s="277"/>
      <c r="AR165" s="89" t="s">
        <v>121</v>
      </c>
      <c r="AS165" s="277"/>
      <c r="AT165" s="277"/>
      <c r="AU165" s="277"/>
      <c r="AV165" s="277"/>
      <c r="AW165" s="277"/>
      <c r="AX165" s="277"/>
      <c r="AY165" s="277"/>
      <c r="AZ165" s="277"/>
      <c r="BA165" s="277"/>
      <c r="BB165" s="284">
        <v>44817.0</v>
      </c>
      <c r="BC165" s="284">
        <v>44817.0</v>
      </c>
      <c r="BD165" s="284">
        <v>44817.0</v>
      </c>
      <c r="BE165" s="284">
        <v>44817.0</v>
      </c>
      <c r="BF165" s="284">
        <v>44817.0</v>
      </c>
      <c r="BG165" s="285"/>
      <c r="BH165" s="277"/>
      <c r="BI165" s="277" t="s">
        <v>129</v>
      </c>
    </row>
    <row r="166" ht="15.75" customHeight="1">
      <c r="A166" s="274" t="s">
        <v>688</v>
      </c>
      <c r="B166" s="275" t="s">
        <v>63</v>
      </c>
      <c r="C166" s="276" t="s">
        <v>705</v>
      </c>
      <c r="D166" s="277" t="s">
        <v>72</v>
      </c>
      <c r="E166" s="277" t="s">
        <v>129</v>
      </c>
      <c r="F166" s="277"/>
      <c r="G166" s="277"/>
      <c r="H166" s="277">
        <v>360.0</v>
      </c>
      <c r="I166" s="277"/>
      <c r="J166" s="277" t="s">
        <v>68</v>
      </c>
      <c r="K166" s="277" t="s">
        <v>97</v>
      </c>
      <c r="L166" s="279"/>
      <c r="M166" s="280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81"/>
      <c r="Y166" s="262">
        <f t="shared" si="121"/>
        <v>0</v>
      </c>
      <c r="Z166" s="64" t="str">
        <f t="shared" si="122"/>
        <v>#DIV/0!</v>
      </c>
      <c r="AA166" s="274"/>
      <c r="AB166" s="274"/>
      <c r="AC166" s="274"/>
      <c r="AD166" s="274"/>
      <c r="AE166" s="274"/>
      <c r="AF166" s="86" t="str">
        <f t="shared" si="123"/>
        <v>#REF!</v>
      </c>
      <c r="AG166" s="68" t="str">
        <f t="shared" si="124"/>
        <v>#NUM!</v>
      </c>
      <c r="AH166" s="274"/>
      <c r="AI166" s="68">
        <f t="shared" si="125"/>
        <v>0</v>
      </c>
      <c r="AJ166" s="68" t="str">
        <f t="shared" si="126"/>
        <v>#NUM!</v>
      </c>
      <c r="AK166" s="68" t="str">
        <f t="shared" si="127"/>
        <v>#NUM!</v>
      </c>
      <c r="AL166" s="282" t="s">
        <v>706</v>
      </c>
      <c r="AM166" s="283">
        <v>2017.0</v>
      </c>
      <c r="AN166" s="58"/>
      <c r="AO166" s="58">
        <f t="shared" si="128"/>
        <v>2023</v>
      </c>
      <c r="AP166" s="102" t="s">
        <v>156</v>
      </c>
      <c r="AQ166" s="277"/>
      <c r="AR166" s="89" t="s">
        <v>121</v>
      </c>
      <c r="AS166" s="277"/>
      <c r="AT166" s="277"/>
      <c r="AU166" s="277"/>
      <c r="AV166" s="277"/>
      <c r="AW166" s="277"/>
      <c r="AX166" s="277"/>
      <c r="AY166" s="277"/>
      <c r="AZ166" s="277"/>
      <c r="BA166" s="277"/>
      <c r="BB166" s="284">
        <v>44817.0</v>
      </c>
      <c r="BC166" s="284">
        <v>44817.0</v>
      </c>
      <c r="BD166" s="284">
        <v>44817.0</v>
      </c>
      <c r="BE166" s="284">
        <v>44817.0</v>
      </c>
      <c r="BF166" s="284">
        <v>44817.0</v>
      </c>
      <c r="BG166" s="285"/>
      <c r="BH166" s="277"/>
      <c r="BI166" s="277" t="s">
        <v>129</v>
      </c>
    </row>
    <row r="167" ht="15.75" customHeight="1">
      <c r="A167" s="274" t="s">
        <v>688</v>
      </c>
      <c r="B167" s="275" t="s">
        <v>63</v>
      </c>
      <c r="C167" s="276" t="s">
        <v>707</v>
      </c>
      <c r="D167" s="277" t="s">
        <v>129</v>
      </c>
      <c r="E167" s="277" t="s">
        <v>129</v>
      </c>
      <c r="F167" s="277" t="s">
        <v>129</v>
      </c>
      <c r="G167" s="277"/>
      <c r="H167" s="278">
        <v>360.0</v>
      </c>
      <c r="I167" s="277"/>
      <c r="J167" s="277" t="s">
        <v>68</v>
      </c>
      <c r="K167" s="277" t="s">
        <v>69</v>
      </c>
      <c r="L167" s="279"/>
      <c r="M167" s="280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81"/>
      <c r="Y167" s="262">
        <f t="shared" si="121"/>
        <v>0</v>
      </c>
      <c r="Z167" s="64" t="str">
        <f t="shared" si="122"/>
        <v>#DIV/0!</v>
      </c>
      <c r="AA167" s="274"/>
      <c r="AB167" s="274"/>
      <c r="AC167" s="274"/>
      <c r="AD167" s="274"/>
      <c r="AE167" s="274"/>
      <c r="AF167" s="86" t="str">
        <f t="shared" si="123"/>
        <v>#REF!</v>
      </c>
      <c r="AG167" s="68" t="str">
        <f t="shared" si="124"/>
        <v>#NUM!</v>
      </c>
      <c r="AH167" s="274"/>
      <c r="AI167" s="68">
        <f t="shared" si="125"/>
        <v>0</v>
      </c>
      <c r="AJ167" s="68" t="str">
        <f t="shared" si="126"/>
        <v>#NUM!</v>
      </c>
      <c r="AK167" s="68" t="str">
        <f t="shared" si="127"/>
        <v>#NUM!</v>
      </c>
      <c r="AL167" s="282" t="s">
        <v>708</v>
      </c>
      <c r="AM167" s="283">
        <v>2015.0</v>
      </c>
      <c r="AN167" s="58"/>
      <c r="AO167" s="58">
        <f t="shared" si="128"/>
        <v>2021</v>
      </c>
      <c r="AP167" s="102" t="s">
        <v>156</v>
      </c>
      <c r="AQ167" s="277"/>
      <c r="AR167" s="89" t="s">
        <v>121</v>
      </c>
      <c r="AS167" s="277"/>
      <c r="AT167" s="277"/>
      <c r="AU167" s="277"/>
      <c r="AV167" s="277"/>
      <c r="AW167" s="277"/>
      <c r="AX167" s="277"/>
      <c r="AY167" s="277"/>
      <c r="AZ167" s="277"/>
      <c r="BA167" s="277"/>
      <c r="BB167" s="284">
        <v>44817.0</v>
      </c>
      <c r="BC167" s="284">
        <v>44817.0</v>
      </c>
      <c r="BD167" s="284">
        <v>44817.0</v>
      </c>
      <c r="BE167" s="284">
        <v>44817.0</v>
      </c>
      <c r="BF167" s="284">
        <v>44817.0</v>
      </c>
      <c r="BG167" s="285"/>
      <c r="BH167" s="277"/>
      <c r="BI167" s="277" t="s">
        <v>129</v>
      </c>
    </row>
    <row r="168" ht="15.75" customHeight="1">
      <c r="A168" s="274" t="s">
        <v>688</v>
      </c>
      <c r="B168" s="275" t="s">
        <v>63</v>
      </c>
      <c r="C168" s="276" t="s">
        <v>709</v>
      </c>
      <c r="D168" s="277" t="s">
        <v>129</v>
      </c>
      <c r="E168" s="277" t="s">
        <v>129</v>
      </c>
      <c r="F168" s="277" t="s">
        <v>129</v>
      </c>
      <c r="G168" s="277"/>
      <c r="H168" s="278">
        <v>360.0</v>
      </c>
      <c r="I168" s="277"/>
      <c r="J168" s="277" t="s">
        <v>68</v>
      </c>
      <c r="K168" s="277" t="s">
        <v>69</v>
      </c>
      <c r="L168" s="279"/>
      <c r="M168" s="280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81"/>
      <c r="Y168" s="262">
        <f t="shared" si="121"/>
        <v>0</v>
      </c>
      <c r="Z168" s="64" t="str">
        <f t="shared" si="122"/>
        <v>#DIV/0!</v>
      </c>
      <c r="AA168" s="274"/>
      <c r="AB168" s="274"/>
      <c r="AC168" s="274"/>
      <c r="AD168" s="274"/>
      <c r="AE168" s="274"/>
      <c r="AF168" s="86" t="str">
        <f t="shared" si="123"/>
        <v>#REF!</v>
      </c>
      <c r="AG168" s="68" t="str">
        <f t="shared" si="124"/>
        <v>#NUM!</v>
      </c>
      <c r="AH168" s="274"/>
      <c r="AI168" s="68">
        <f t="shared" si="125"/>
        <v>0</v>
      </c>
      <c r="AJ168" s="68" t="str">
        <f t="shared" si="126"/>
        <v>#NUM!</v>
      </c>
      <c r="AK168" s="68" t="str">
        <f t="shared" si="127"/>
        <v>#NUM!</v>
      </c>
      <c r="AL168" s="282" t="s">
        <v>710</v>
      </c>
      <c r="AM168" s="283">
        <v>2015.0</v>
      </c>
      <c r="AN168" s="58"/>
      <c r="AO168" s="58">
        <f t="shared" si="128"/>
        <v>2021</v>
      </c>
      <c r="AP168" s="102" t="s">
        <v>156</v>
      </c>
      <c r="AQ168" s="277"/>
      <c r="AR168" s="89" t="s">
        <v>121</v>
      </c>
      <c r="AS168" s="277"/>
      <c r="AT168" s="277"/>
      <c r="AU168" s="277"/>
      <c r="AV168" s="277"/>
      <c r="AW168" s="277"/>
      <c r="AX168" s="277"/>
      <c r="AY168" s="277"/>
      <c r="AZ168" s="277"/>
      <c r="BA168" s="277"/>
      <c r="BB168" s="284">
        <v>44817.0</v>
      </c>
      <c r="BC168" s="284">
        <v>44817.0</v>
      </c>
      <c r="BD168" s="284">
        <v>44817.0</v>
      </c>
      <c r="BE168" s="284">
        <v>44817.0</v>
      </c>
      <c r="BF168" s="284">
        <v>44817.0</v>
      </c>
      <c r="BG168" s="285"/>
      <c r="BH168" s="277"/>
      <c r="BI168" s="277" t="s">
        <v>129</v>
      </c>
    </row>
    <row r="169" ht="15.75" customHeight="1">
      <c r="A169" s="274" t="s">
        <v>688</v>
      </c>
      <c r="B169" s="275" t="s">
        <v>63</v>
      </c>
      <c r="C169" s="276" t="s">
        <v>711</v>
      </c>
      <c r="D169" s="277" t="s">
        <v>701</v>
      </c>
      <c r="E169" s="277" t="s">
        <v>129</v>
      </c>
      <c r="F169" s="277" t="s">
        <v>129</v>
      </c>
      <c r="G169" s="277"/>
      <c r="H169" s="278">
        <v>360.0</v>
      </c>
      <c r="I169" s="277"/>
      <c r="J169" s="277" t="s">
        <v>68</v>
      </c>
      <c r="K169" s="277" t="s">
        <v>69</v>
      </c>
      <c r="L169" s="279"/>
      <c r="M169" s="280" t="s">
        <v>129</v>
      </c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81"/>
      <c r="Y169" s="262">
        <f t="shared" si="121"/>
        <v>0</v>
      </c>
      <c r="Z169" s="64" t="str">
        <f t="shared" si="122"/>
        <v>#DIV/0!</v>
      </c>
      <c r="AA169" s="274"/>
      <c r="AB169" s="274"/>
      <c r="AC169" s="274"/>
      <c r="AD169" s="274"/>
      <c r="AE169" s="274"/>
      <c r="AF169" s="86" t="str">
        <f t="shared" si="123"/>
        <v>#REF!</v>
      </c>
      <c r="AG169" s="68" t="str">
        <f t="shared" si="124"/>
        <v>#NUM!</v>
      </c>
      <c r="AH169" s="274"/>
      <c r="AI169" s="68">
        <f t="shared" si="125"/>
        <v>0</v>
      </c>
      <c r="AJ169" s="68" t="str">
        <f t="shared" si="126"/>
        <v>#NUM!</v>
      </c>
      <c r="AK169" s="68" t="str">
        <f t="shared" si="127"/>
        <v>#NUM!</v>
      </c>
      <c r="AL169" s="282" t="s">
        <v>712</v>
      </c>
      <c r="AM169" s="283">
        <v>2017.0</v>
      </c>
      <c r="AN169" s="58"/>
      <c r="AO169" s="58">
        <f t="shared" si="128"/>
        <v>2023</v>
      </c>
      <c r="AP169" s="102" t="s">
        <v>156</v>
      </c>
      <c r="AQ169" s="277"/>
      <c r="AR169" s="89" t="s">
        <v>121</v>
      </c>
      <c r="AS169" s="277"/>
      <c r="AT169" s="277"/>
      <c r="AU169" s="277"/>
      <c r="AV169" s="277"/>
      <c r="AW169" s="277"/>
      <c r="AX169" s="277"/>
      <c r="AY169" s="277"/>
      <c r="AZ169" s="277"/>
      <c r="BA169" s="277"/>
      <c r="BB169" s="284">
        <v>44817.0</v>
      </c>
      <c r="BC169" s="284">
        <v>44817.0</v>
      </c>
      <c r="BD169" s="284">
        <v>44817.0</v>
      </c>
      <c r="BE169" s="284">
        <v>44817.0</v>
      </c>
      <c r="BF169" s="284">
        <v>44817.0</v>
      </c>
      <c r="BG169" s="285"/>
      <c r="BH169" s="277"/>
      <c r="BI169" s="277" t="s">
        <v>129</v>
      </c>
    </row>
    <row r="170" ht="15.75" customHeight="1">
      <c r="A170" s="274" t="s">
        <v>688</v>
      </c>
      <c r="B170" s="287" t="s">
        <v>63</v>
      </c>
      <c r="C170" s="276" t="s">
        <v>713</v>
      </c>
      <c r="D170" s="277" t="s">
        <v>701</v>
      </c>
      <c r="E170" s="277" t="s">
        <v>129</v>
      </c>
      <c r="F170" s="277" t="s">
        <v>129</v>
      </c>
      <c r="G170" s="277"/>
      <c r="H170" s="278">
        <v>360.0</v>
      </c>
      <c r="I170" s="277"/>
      <c r="J170" s="277" t="s">
        <v>68</v>
      </c>
      <c r="K170" s="277" t="s">
        <v>69</v>
      </c>
      <c r="L170" s="279"/>
      <c r="M170" s="280" t="s">
        <v>129</v>
      </c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81"/>
      <c r="Y170" s="262">
        <f t="shared" si="121"/>
        <v>0</v>
      </c>
      <c r="Z170" s="64" t="str">
        <f t="shared" si="122"/>
        <v>#DIV/0!</v>
      </c>
      <c r="AA170" s="274"/>
      <c r="AB170" s="274"/>
      <c r="AC170" s="274"/>
      <c r="AD170" s="274"/>
      <c r="AE170" s="274"/>
      <c r="AF170" s="86" t="str">
        <f t="shared" si="123"/>
        <v>#REF!</v>
      </c>
      <c r="AG170" s="68" t="str">
        <f t="shared" si="124"/>
        <v>#NUM!</v>
      </c>
      <c r="AH170" s="274"/>
      <c r="AI170" s="68">
        <f t="shared" si="125"/>
        <v>0</v>
      </c>
      <c r="AJ170" s="68" t="str">
        <f t="shared" si="126"/>
        <v>#NUM!</v>
      </c>
      <c r="AK170" s="68" t="str">
        <f t="shared" si="127"/>
        <v>#NUM!</v>
      </c>
      <c r="AL170" s="282" t="s">
        <v>714</v>
      </c>
      <c r="AM170" s="283">
        <v>2017.0</v>
      </c>
      <c r="AN170" s="58"/>
      <c r="AO170" s="58">
        <f t="shared" si="128"/>
        <v>2023</v>
      </c>
      <c r="AP170" s="102" t="s">
        <v>156</v>
      </c>
      <c r="AQ170" s="277"/>
      <c r="AR170" s="89" t="s">
        <v>121</v>
      </c>
      <c r="AS170" s="277"/>
      <c r="AT170" s="277"/>
      <c r="AU170" s="277"/>
      <c r="AV170" s="277"/>
      <c r="AW170" s="277"/>
      <c r="AX170" s="277"/>
      <c r="AY170" s="277"/>
      <c r="AZ170" s="277"/>
      <c r="BA170" s="277"/>
      <c r="BB170" s="284">
        <v>44817.0</v>
      </c>
      <c r="BC170" s="284">
        <v>44817.0</v>
      </c>
      <c r="BD170" s="284">
        <v>44817.0</v>
      </c>
      <c r="BE170" s="284">
        <v>44817.0</v>
      </c>
      <c r="BF170" s="284">
        <v>44817.0</v>
      </c>
      <c r="BG170" s="285"/>
      <c r="BH170" s="277"/>
      <c r="BI170" s="277" t="s">
        <v>129</v>
      </c>
    </row>
    <row r="171" ht="15.75" customHeight="1">
      <c r="A171" s="274" t="s">
        <v>688</v>
      </c>
      <c r="B171" s="287" t="s">
        <v>63</v>
      </c>
      <c r="C171" s="276" t="s">
        <v>715</v>
      </c>
      <c r="D171" s="277"/>
      <c r="E171" s="277" t="s">
        <v>129</v>
      </c>
      <c r="F171" s="277" t="s">
        <v>129</v>
      </c>
      <c r="G171" s="277"/>
      <c r="H171" s="278">
        <v>360.0</v>
      </c>
      <c r="I171" s="277"/>
      <c r="J171" s="277" t="s">
        <v>68</v>
      </c>
      <c r="K171" s="277" t="s">
        <v>69</v>
      </c>
      <c r="L171" s="279"/>
      <c r="M171" s="280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81"/>
      <c r="Y171" s="262">
        <f t="shared" si="121"/>
        <v>0</v>
      </c>
      <c r="Z171" s="64" t="str">
        <f t="shared" si="122"/>
        <v>#DIV/0!</v>
      </c>
      <c r="AA171" s="274"/>
      <c r="AB171" s="274"/>
      <c r="AC171" s="274"/>
      <c r="AD171" s="274"/>
      <c r="AE171" s="274"/>
      <c r="AF171" s="86" t="str">
        <f t="shared" si="123"/>
        <v>#REF!</v>
      </c>
      <c r="AG171" s="68" t="str">
        <f t="shared" si="124"/>
        <v>#NUM!</v>
      </c>
      <c r="AH171" s="274"/>
      <c r="AI171" s="68">
        <f t="shared" si="125"/>
        <v>0</v>
      </c>
      <c r="AJ171" s="68" t="str">
        <f t="shared" si="126"/>
        <v>#NUM!</v>
      </c>
      <c r="AK171" s="68" t="str">
        <f t="shared" si="127"/>
        <v>#NUM!</v>
      </c>
      <c r="AL171" s="282" t="s">
        <v>716</v>
      </c>
      <c r="AM171" s="283">
        <v>2018.0</v>
      </c>
      <c r="AN171" s="58"/>
      <c r="AO171" s="58">
        <f t="shared" si="128"/>
        <v>2024</v>
      </c>
      <c r="AP171" s="102" t="s">
        <v>156</v>
      </c>
      <c r="AQ171" s="277"/>
      <c r="AR171" s="89" t="s">
        <v>121</v>
      </c>
      <c r="AS171" s="277"/>
      <c r="AT171" s="277"/>
      <c r="AU171" s="277"/>
      <c r="AV171" s="277"/>
      <c r="AW171" s="277"/>
      <c r="AX171" s="277"/>
      <c r="AY171" s="277"/>
      <c r="AZ171" s="277"/>
      <c r="BA171" s="277"/>
      <c r="BB171" s="284">
        <v>44817.0</v>
      </c>
      <c r="BC171" s="284">
        <v>44817.0</v>
      </c>
      <c r="BD171" s="284">
        <v>44817.0</v>
      </c>
      <c r="BE171" s="284">
        <v>44817.0</v>
      </c>
      <c r="BF171" s="284">
        <v>44817.0</v>
      </c>
      <c r="BG171" s="285"/>
      <c r="BH171" s="277"/>
      <c r="BI171" s="277" t="s">
        <v>129</v>
      </c>
    </row>
    <row r="172" ht="15.75" customHeight="1">
      <c r="A172" s="274" t="s">
        <v>688</v>
      </c>
      <c r="B172" s="275" t="s">
        <v>63</v>
      </c>
      <c r="C172" s="276" t="s">
        <v>717</v>
      </c>
      <c r="D172" s="277"/>
      <c r="E172" s="277" t="s">
        <v>129</v>
      </c>
      <c r="F172" s="277" t="s">
        <v>129</v>
      </c>
      <c r="G172" s="277"/>
      <c r="H172" s="278">
        <v>360.0</v>
      </c>
      <c r="I172" s="277"/>
      <c r="J172" s="277" t="s">
        <v>68</v>
      </c>
      <c r="K172" s="277" t="s">
        <v>69</v>
      </c>
      <c r="L172" s="279"/>
      <c r="M172" s="280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81"/>
      <c r="Y172" s="262">
        <f t="shared" si="121"/>
        <v>0</v>
      </c>
      <c r="Z172" s="64" t="str">
        <f t="shared" si="122"/>
        <v>#DIV/0!</v>
      </c>
      <c r="AA172" s="274"/>
      <c r="AB172" s="274"/>
      <c r="AC172" s="274"/>
      <c r="AD172" s="274"/>
      <c r="AE172" s="274"/>
      <c r="AF172" s="86" t="str">
        <f t="shared" si="123"/>
        <v>#REF!</v>
      </c>
      <c r="AG172" s="68" t="str">
        <f t="shared" si="124"/>
        <v>#NUM!</v>
      </c>
      <c r="AH172" s="274"/>
      <c r="AI172" s="68">
        <f t="shared" si="125"/>
        <v>0</v>
      </c>
      <c r="AJ172" s="68" t="str">
        <f t="shared" si="126"/>
        <v>#NUM!</v>
      </c>
      <c r="AK172" s="68" t="str">
        <f t="shared" si="127"/>
        <v>#NUM!</v>
      </c>
      <c r="AL172" s="282" t="s">
        <v>718</v>
      </c>
      <c r="AM172" s="283">
        <v>2017.0</v>
      </c>
      <c r="AN172" s="58"/>
      <c r="AO172" s="58">
        <f t="shared" si="128"/>
        <v>2023</v>
      </c>
      <c r="AP172" s="102" t="s">
        <v>156</v>
      </c>
      <c r="AQ172" s="277"/>
      <c r="AR172" s="89" t="s">
        <v>121</v>
      </c>
      <c r="AS172" s="277"/>
      <c r="AT172" s="277"/>
      <c r="AU172" s="277"/>
      <c r="AV172" s="277"/>
      <c r="AW172" s="277"/>
      <c r="AX172" s="277"/>
      <c r="AY172" s="277"/>
      <c r="AZ172" s="277"/>
      <c r="BA172" s="277"/>
      <c r="BB172" s="284">
        <v>44817.0</v>
      </c>
      <c r="BC172" s="284">
        <v>44817.0</v>
      </c>
      <c r="BD172" s="284">
        <v>44817.0</v>
      </c>
      <c r="BE172" s="284">
        <v>44817.0</v>
      </c>
      <c r="BF172" s="284">
        <v>44817.0</v>
      </c>
      <c r="BG172" s="285"/>
      <c r="BH172" s="277"/>
      <c r="BI172" s="277" t="s">
        <v>129</v>
      </c>
    </row>
    <row r="173" ht="15.75" customHeight="1">
      <c r="A173" s="274" t="s">
        <v>688</v>
      </c>
      <c r="B173" s="275" t="s">
        <v>63</v>
      </c>
      <c r="C173" s="276" t="s">
        <v>719</v>
      </c>
      <c r="D173" s="277"/>
      <c r="E173" s="277" t="s">
        <v>129</v>
      </c>
      <c r="F173" s="277" t="s">
        <v>129</v>
      </c>
      <c r="G173" s="277"/>
      <c r="H173" s="278">
        <v>360.0</v>
      </c>
      <c r="I173" s="277"/>
      <c r="J173" s="277" t="s">
        <v>68</v>
      </c>
      <c r="K173" s="277" t="s">
        <v>97</v>
      </c>
      <c r="L173" s="279"/>
      <c r="M173" s="280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81"/>
      <c r="Y173" s="262">
        <f t="shared" si="121"/>
        <v>0</v>
      </c>
      <c r="Z173" s="64" t="str">
        <f t="shared" si="122"/>
        <v>#DIV/0!</v>
      </c>
      <c r="AA173" s="274"/>
      <c r="AB173" s="274"/>
      <c r="AC173" s="274"/>
      <c r="AD173" s="274"/>
      <c r="AE173" s="274"/>
      <c r="AF173" s="86" t="str">
        <f t="shared" si="123"/>
        <v>#REF!</v>
      </c>
      <c r="AG173" s="68" t="str">
        <f t="shared" si="124"/>
        <v>#NUM!</v>
      </c>
      <c r="AH173" s="274"/>
      <c r="AI173" s="68">
        <f t="shared" si="125"/>
        <v>0</v>
      </c>
      <c r="AJ173" s="68" t="str">
        <f t="shared" si="126"/>
        <v>#NUM!</v>
      </c>
      <c r="AK173" s="68" t="str">
        <f t="shared" si="127"/>
        <v>#NUM!</v>
      </c>
      <c r="AL173" s="282" t="s">
        <v>720</v>
      </c>
      <c r="AM173" s="283">
        <v>2018.0</v>
      </c>
      <c r="AN173" s="58"/>
      <c r="AO173" s="58">
        <f t="shared" si="128"/>
        <v>2024</v>
      </c>
      <c r="AP173" s="102" t="s">
        <v>156</v>
      </c>
      <c r="AQ173" s="277"/>
      <c r="AR173" s="89" t="s">
        <v>121</v>
      </c>
      <c r="AS173" s="277"/>
      <c r="AT173" s="277"/>
      <c r="AU173" s="277"/>
      <c r="AV173" s="277"/>
      <c r="AW173" s="277"/>
      <c r="AX173" s="277"/>
      <c r="AY173" s="277"/>
      <c r="AZ173" s="277"/>
      <c r="BA173" s="277"/>
      <c r="BB173" s="284">
        <v>44817.0</v>
      </c>
      <c r="BC173" s="284">
        <v>44817.0</v>
      </c>
      <c r="BD173" s="284">
        <v>44817.0</v>
      </c>
      <c r="BE173" s="284">
        <v>44817.0</v>
      </c>
      <c r="BF173" s="284">
        <v>44817.0</v>
      </c>
      <c r="BG173" s="285"/>
      <c r="BH173" s="277"/>
      <c r="BI173" s="277" t="s">
        <v>129</v>
      </c>
    </row>
    <row r="174" ht="15.75" customHeight="1">
      <c r="A174" s="274" t="s">
        <v>688</v>
      </c>
      <c r="B174" s="275" t="s">
        <v>63</v>
      </c>
      <c r="C174" s="276" t="s">
        <v>698</v>
      </c>
      <c r="D174" s="277"/>
      <c r="E174" s="277" t="s">
        <v>129</v>
      </c>
      <c r="F174" s="277" t="s">
        <v>129</v>
      </c>
      <c r="G174" s="277"/>
      <c r="H174" s="278">
        <v>360.0</v>
      </c>
      <c r="I174" s="277"/>
      <c r="J174" s="277" t="s">
        <v>68</v>
      </c>
      <c r="K174" s="277" t="s">
        <v>97</v>
      </c>
      <c r="L174" s="279"/>
      <c r="M174" s="280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81"/>
      <c r="Y174" s="262">
        <f t="shared" si="121"/>
        <v>0</v>
      </c>
      <c r="Z174" s="64" t="str">
        <f t="shared" si="122"/>
        <v>#DIV/0!</v>
      </c>
      <c r="AA174" s="274"/>
      <c r="AB174" s="274"/>
      <c r="AC174" s="274"/>
      <c r="AD174" s="274"/>
      <c r="AE174" s="274"/>
      <c r="AF174" s="86" t="str">
        <f t="shared" si="123"/>
        <v>#REF!</v>
      </c>
      <c r="AG174" s="68" t="str">
        <f t="shared" si="124"/>
        <v>#NUM!</v>
      </c>
      <c r="AH174" s="274"/>
      <c r="AI174" s="68">
        <f t="shared" si="125"/>
        <v>0</v>
      </c>
      <c r="AJ174" s="68" t="str">
        <f t="shared" si="126"/>
        <v>#NUM!</v>
      </c>
      <c r="AK174" s="68" t="str">
        <f t="shared" si="127"/>
        <v>#NUM!</v>
      </c>
      <c r="AL174" s="282" t="s">
        <v>699</v>
      </c>
      <c r="AM174" s="283">
        <v>2018.0</v>
      </c>
      <c r="AN174" s="58"/>
      <c r="AO174" s="58">
        <f t="shared" si="128"/>
        <v>2024</v>
      </c>
      <c r="AP174" s="102" t="s">
        <v>156</v>
      </c>
      <c r="AQ174" s="277"/>
      <c r="AR174" s="89" t="s">
        <v>121</v>
      </c>
      <c r="AS174" s="277"/>
      <c r="AT174" s="277"/>
      <c r="AU174" s="277"/>
      <c r="AV174" s="277"/>
      <c r="AW174" s="277"/>
      <c r="AX174" s="277"/>
      <c r="AY174" s="277"/>
      <c r="AZ174" s="277"/>
      <c r="BA174" s="277"/>
      <c r="BB174" s="284">
        <v>44817.0</v>
      </c>
      <c r="BC174" s="284">
        <v>44817.0</v>
      </c>
      <c r="BD174" s="284">
        <v>44817.0</v>
      </c>
      <c r="BE174" s="284">
        <v>44817.0</v>
      </c>
      <c r="BF174" s="284">
        <v>44817.0</v>
      </c>
      <c r="BG174" s="285"/>
      <c r="BH174" s="277"/>
      <c r="BI174" s="277" t="s">
        <v>129</v>
      </c>
    </row>
    <row r="175" ht="15.75" customHeight="1">
      <c r="A175" s="274" t="s">
        <v>688</v>
      </c>
      <c r="B175" s="287" t="s">
        <v>63</v>
      </c>
      <c r="C175" s="276" t="s">
        <v>721</v>
      </c>
      <c r="D175" s="277"/>
      <c r="E175" s="277" t="s">
        <v>129</v>
      </c>
      <c r="F175" s="277" t="s">
        <v>129</v>
      </c>
      <c r="G175" s="277"/>
      <c r="H175" s="278">
        <v>360.0</v>
      </c>
      <c r="I175" s="277"/>
      <c r="J175" s="277" t="s">
        <v>68</v>
      </c>
      <c r="K175" s="277" t="s">
        <v>97</v>
      </c>
      <c r="L175" s="279"/>
      <c r="M175" s="280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81"/>
      <c r="Y175" s="262">
        <f t="shared" si="121"/>
        <v>0</v>
      </c>
      <c r="Z175" s="64" t="str">
        <f t="shared" si="122"/>
        <v>#DIV/0!</v>
      </c>
      <c r="AA175" s="274"/>
      <c r="AB175" s="274"/>
      <c r="AC175" s="274"/>
      <c r="AD175" s="274"/>
      <c r="AE175" s="274"/>
      <c r="AF175" s="86" t="str">
        <f t="shared" si="123"/>
        <v>#REF!</v>
      </c>
      <c r="AG175" s="68" t="str">
        <f t="shared" si="124"/>
        <v>#NUM!</v>
      </c>
      <c r="AH175" s="274"/>
      <c r="AI175" s="68">
        <f t="shared" si="125"/>
        <v>0</v>
      </c>
      <c r="AJ175" s="68" t="str">
        <f t="shared" si="126"/>
        <v>#NUM!</v>
      </c>
      <c r="AK175" s="68" t="str">
        <f t="shared" si="127"/>
        <v>#NUM!</v>
      </c>
      <c r="AL175" s="282" t="s">
        <v>722</v>
      </c>
      <c r="AM175" s="283">
        <v>2019.0</v>
      </c>
      <c r="AN175" s="58"/>
      <c r="AO175" s="58">
        <f t="shared" si="128"/>
        <v>2025</v>
      </c>
      <c r="AP175" s="102" t="s">
        <v>156</v>
      </c>
      <c r="AQ175" s="277"/>
      <c r="AR175" s="89" t="s">
        <v>121</v>
      </c>
      <c r="AS175" s="277"/>
      <c r="AT175" s="277"/>
      <c r="AU175" s="277"/>
      <c r="AV175" s="277"/>
      <c r="AW175" s="277"/>
      <c r="AX175" s="277"/>
      <c r="AY175" s="277"/>
      <c r="AZ175" s="277"/>
      <c r="BA175" s="277"/>
      <c r="BB175" s="284">
        <v>44817.0</v>
      </c>
      <c r="BC175" s="284">
        <v>44817.0</v>
      </c>
      <c r="BD175" s="284">
        <v>44817.0</v>
      </c>
      <c r="BE175" s="284">
        <v>44817.0</v>
      </c>
      <c r="BF175" s="284">
        <v>44817.0</v>
      </c>
      <c r="BG175" s="285"/>
      <c r="BH175" s="277"/>
      <c r="BI175" s="277" t="s">
        <v>129</v>
      </c>
    </row>
    <row r="176" ht="15.75" customHeight="1">
      <c r="A176" s="274" t="s">
        <v>688</v>
      </c>
      <c r="B176" s="287" t="s">
        <v>63</v>
      </c>
      <c r="C176" s="276" t="s">
        <v>723</v>
      </c>
      <c r="D176" s="277"/>
      <c r="E176" s="277" t="s">
        <v>129</v>
      </c>
      <c r="F176" s="277" t="s">
        <v>129</v>
      </c>
      <c r="G176" s="277"/>
      <c r="H176" s="278">
        <v>360.0</v>
      </c>
      <c r="I176" s="277"/>
      <c r="J176" s="277" t="s">
        <v>68</v>
      </c>
      <c r="K176" s="277" t="s">
        <v>69</v>
      </c>
      <c r="L176" s="279"/>
      <c r="M176" s="280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81"/>
      <c r="Y176" s="262">
        <f t="shared" si="121"/>
        <v>0</v>
      </c>
      <c r="Z176" s="64" t="str">
        <f t="shared" si="122"/>
        <v>#DIV/0!</v>
      </c>
      <c r="AA176" s="274"/>
      <c r="AB176" s="274"/>
      <c r="AC176" s="274"/>
      <c r="AD176" s="274"/>
      <c r="AE176" s="274"/>
      <c r="AF176" s="86" t="str">
        <f t="shared" si="123"/>
        <v>#REF!</v>
      </c>
      <c r="AG176" s="68" t="str">
        <f t="shared" si="124"/>
        <v>#NUM!</v>
      </c>
      <c r="AH176" s="274"/>
      <c r="AI176" s="68">
        <f t="shared" si="125"/>
        <v>0</v>
      </c>
      <c r="AJ176" s="68" t="str">
        <f t="shared" si="126"/>
        <v>#NUM!</v>
      </c>
      <c r="AK176" s="68" t="str">
        <f t="shared" si="127"/>
        <v>#NUM!</v>
      </c>
      <c r="AL176" s="282" t="s">
        <v>724</v>
      </c>
      <c r="AM176" s="283">
        <v>2019.0</v>
      </c>
      <c r="AN176" s="58"/>
      <c r="AO176" s="58">
        <f t="shared" si="128"/>
        <v>2025</v>
      </c>
      <c r="AP176" s="102" t="s">
        <v>156</v>
      </c>
      <c r="AQ176" s="277"/>
      <c r="AR176" s="89" t="s">
        <v>121</v>
      </c>
      <c r="AS176" s="277"/>
      <c r="AT176" s="277"/>
      <c r="AU176" s="277"/>
      <c r="AV176" s="277"/>
      <c r="AW176" s="277"/>
      <c r="AX176" s="277"/>
      <c r="AY176" s="277"/>
      <c r="AZ176" s="277"/>
      <c r="BA176" s="277"/>
      <c r="BB176" s="284">
        <v>44817.0</v>
      </c>
      <c r="BC176" s="284">
        <v>44817.0</v>
      </c>
      <c r="BD176" s="284">
        <v>44817.0</v>
      </c>
      <c r="BE176" s="284">
        <v>44817.0</v>
      </c>
      <c r="BF176" s="284">
        <v>44817.0</v>
      </c>
      <c r="BG176" s="285"/>
      <c r="BH176" s="277"/>
      <c r="BI176" s="277" t="s">
        <v>129</v>
      </c>
    </row>
    <row r="177" ht="15.75" customHeight="1">
      <c r="A177" s="274" t="s">
        <v>688</v>
      </c>
      <c r="B177" s="275" t="s">
        <v>63</v>
      </c>
      <c r="C177" s="276" t="s">
        <v>725</v>
      </c>
      <c r="D177" s="277"/>
      <c r="E177" s="277" t="s">
        <v>129</v>
      </c>
      <c r="F177" s="277" t="s">
        <v>129</v>
      </c>
      <c r="G177" s="277"/>
      <c r="H177" s="278">
        <v>360.0</v>
      </c>
      <c r="I177" s="277"/>
      <c r="J177" s="277" t="s">
        <v>68</v>
      </c>
      <c r="K177" s="277" t="s">
        <v>69</v>
      </c>
      <c r="L177" s="279"/>
      <c r="M177" s="280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81"/>
      <c r="Y177" s="262">
        <f t="shared" si="121"/>
        <v>0</v>
      </c>
      <c r="Z177" s="64" t="str">
        <f t="shared" si="122"/>
        <v>#DIV/0!</v>
      </c>
      <c r="AA177" s="274"/>
      <c r="AB177" s="274"/>
      <c r="AC177" s="274"/>
      <c r="AD177" s="274"/>
      <c r="AE177" s="274"/>
      <c r="AF177" s="86" t="str">
        <f t="shared" si="123"/>
        <v>#REF!</v>
      </c>
      <c r="AG177" s="68" t="str">
        <f t="shared" si="124"/>
        <v>#NUM!</v>
      </c>
      <c r="AH177" s="274"/>
      <c r="AI177" s="68">
        <f t="shared" si="125"/>
        <v>0</v>
      </c>
      <c r="AJ177" s="68" t="str">
        <f t="shared" si="126"/>
        <v>#NUM!</v>
      </c>
      <c r="AK177" s="68" t="str">
        <f t="shared" si="127"/>
        <v>#NUM!</v>
      </c>
      <c r="AL177" s="282" t="s">
        <v>726</v>
      </c>
      <c r="AM177" s="283">
        <v>2018.0</v>
      </c>
      <c r="AN177" s="58"/>
      <c r="AO177" s="58">
        <f t="shared" si="128"/>
        <v>2024</v>
      </c>
      <c r="AP177" s="102" t="s">
        <v>156</v>
      </c>
      <c r="AQ177" s="277"/>
      <c r="AR177" s="89" t="s">
        <v>121</v>
      </c>
      <c r="AS177" s="277"/>
      <c r="AT177" s="277"/>
      <c r="AU177" s="277"/>
      <c r="AV177" s="277"/>
      <c r="AW177" s="277"/>
      <c r="AX177" s="277"/>
      <c r="AY177" s="277"/>
      <c r="AZ177" s="277"/>
      <c r="BA177" s="277"/>
      <c r="BB177" s="284">
        <v>44817.0</v>
      </c>
      <c r="BC177" s="284">
        <v>44817.0</v>
      </c>
      <c r="BD177" s="284">
        <v>44817.0</v>
      </c>
      <c r="BE177" s="284">
        <v>44817.0</v>
      </c>
      <c r="BF177" s="284">
        <v>44817.0</v>
      </c>
      <c r="BG177" s="285"/>
      <c r="BH177" s="277"/>
      <c r="BI177" s="277" t="s">
        <v>129</v>
      </c>
    </row>
    <row r="178" ht="15.75" customHeight="1">
      <c r="A178" s="274" t="s">
        <v>688</v>
      </c>
      <c r="B178" s="275" t="s">
        <v>63</v>
      </c>
      <c r="C178" s="276" t="s">
        <v>582</v>
      </c>
      <c r="D178" s="277" t="s">
        <v>295</v>
      </c>
      <c r="E178" s="277" t="s">
        <v>129</v>
      </c>
      <c r="F178" s="277" t="s">
        <v>129</v>
      </c>
      <c r="G178" s="277"/>
      <c r="H178" s="278">
        <v>415.0</v>
      </c>
      <c r="I178" s="277"/>
      <c r="J178" s="277" t="s">
        <v>68</v>
      </c>
      <c r="K178" s="277" t="s">
        <v>69</v>
      </c>
      <c r="L178" s="279"/>
      <c r="M178" s="280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81"/>
      <c r="Y178" s="262">
        <f t="shared" si="121"/>
        <v>0</v>
      </c>
      <c r="Z178" s="64" t="str">
        <f t="shared" si="122"/>
        <v>#DIV/0!</v>
      </c>
      <c r="AA178" s="274"/>
      <c r="AB178" s="274"/>
      <c r="AC178" s="274"/>
      <c r="AD178" s="274"/>
      <c r="AE178" s="274"/>
      <c r="AF178" s="86" t="str">
        <f t="shared" si="123"/>
        <v>#REF!</v>
      </c>
      <c r="AG178" s="68" t="str">
        <f t="shared" si="124"/>
        <v>#NUM!</v>
      </c>
      <c r="AH178" s="274"/>
      <c r="AI178" s="68">
        <f t="shared" si="125"/>
        <v>0</v>
      </c>
      <c r="AJ178" s="68" t="str">
        <f t="shared" si="126"/>
        <v>#NUM!</v>
      </c>
      <c r="AK178" s="68" t="str">
        <f t="shared" si="127"/>
        <v>#NUM!</v>
      </c>
      <c r="AL178" s="282" t="s">
        <v>727</v>
      </c>
      <c r="AM178" s="283">
        <v>2017.0</v>
      </c>
      <c r="AN178" s="58"/>
      <c r="AO178" s="58">
        <f t="shared" si="128"/>
        <v>2023</v>
      </c>
      <c r="AP178" s="102" t="s">
        <v>156</v>
      </c>
      <c r="AQ178" s="277"/>
      <c r="AR178" s="89" t="s">
        <v>121</v>
      </c>
      <c r="AS178" s="277"/>
      <c r="AT178" s="277"/>
      <c r="AU178" s="277"/>
      <c r="AV178" s="277"/>
      <c r="AW178" s="277"/>
      <c r="AX178" s="277"/>
      <c r="AY178" s="277"/>
      <c r="AZ178" s="277"/>
      <c r="BA178" s="277"/>
      <c r="BB178" s="284">
        <v>44817.0</v>
      </c>
      <c r="BC178" s="284">
        <v>44817.0</v>
      </c>
      <c r="BD178" s="284">
        <v>44817.0</v>
      </c>
      <c r="BE178" s="284">
        <v>44817.0</v>
      </c>
      <c r="BF178" s="284">
        <v>44817.0</v>
      </c>
      <c r="BG178" s="285"/>
      <c r="BH178" s="277"/>
      <c r="BI178" s="277" t="s">
        <v>129</v>
      </c>
    </row>
    <row r="179" ht="15.75" customHeight="1">
      <c r="A179" s="274" t="s">
        <v>688</v>
      </c>
      <c r="B179" s="275" t="s">
        <v>63</v>
      </c>
      <c r="C179" s="276" t="s">
        <v>728</v>
      </c>
      <c r="D179" s="277" t="s">
        <v>295</v>
      </c>
      <c r="E179" s="277" t="s">
        <v>694</v>
      </c>
      <c r="F179" s="277"/>
      <c r="G179" s="277"/>
      <c r="H179" s="278">
        <v>360.0</v>
      </c>
      <c r="I179" s="277" t="s">
        <v>74</v>
      </c>
      <c r="J179" s="277"/>
      <c r="K179" s="277" t="s">
        <v>97</v>
      </c>
      <c r="L179" s="279">
        <v>50.0</v>
      </c>
      <c r="M179" s="280">
        <v>150.0</v>
      </c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81"/>
      <c r="Y179" s="262"/>
      <c r="Z179" s="64"/>
      <c r="AA179" s="274"/>
      <c r="AB179" s="274"/>
      <c r="AC179" s="274"/>
      <c r="AD179" s="274"/>
      <c r="AE179" s="274"/>
      <c r="AF179" s="86"/>
      <c r="AG179" s="68"/>
      <c r="AH179" s="274"/>
      <c r="AI179" s="68"/>
      <c r="AJ179" s="68"/>
      <c r="AK179" s="68"/>
      <c r="AL179" s="282"/>
      <c r="AM179" s="283"/>
      <c r="AN179" s="58"/>
      <c r="AO179" s="58"/>
      <c r="AP179" s="102"/>
      <c r="AQ179" s="277"/>
      <c r="AR179" s="89"/>
      <c r="AS179" s="277"/>
      <c r="AT179" s="277"/>
      <c r="AU179" s="277"/>
      <c r="AV179" s="277"/>
      <c r="AW179" s="277"/>
      <c r="AX179" s="277"/>
      <c r="AY179" s="277"/>
      <c r="AZ179" s="277"/>
      <c r="BA179" s="277"/>
      <c r="BB179" s="284"/>
      <c r="BC179" s="284"/>
      <c r="BD179" s="284"/>
      <c r="BE179" s="284"/>
      <c r="BF179" s="284"/>
      <c r="BG179" s="285"/>
      <c r="BH179" s="277"/>
      <c r="BI179" s="277"/>
    </row>
    <row r="180" ht="15.75" customHeight="1">
      <c r="A180" s="274" t="s">
        <v>688</v>
      </c>
      <c r="B180" s="275" t="s">
        <v>63</v>
      </c>
      <c r="C180" s="276" t="s">
        <v>729</v>
      </c>
      <c r="D180" s="277" t="s">
        <v>730</v>
      </c>
      <c r="E180" s="277" t="s">
        <v>731</v>
      </c>
      <c r="F180" s="277"/>
      <c r="G180" s="277"/>
      <c r="H180" s="278">
        <v>360.0</v>
      </c>
      <c r="I180" s="277" t="s">
        <v>67</v>
      </c>
      <c r="J180" s="277" t="s">
        <v>68</v>
      </c>
      <c r="K180" s="277" t="s">
        <v>97</v>
      </c>
      <c r="L180" s="279">
        <v>40.0</v>
      </c>
      <c r="M180" s="280">
        <v>60.0</v>
      </c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81"/>
      <c r="Y180" s="262"/>
      <c r="Z180" s="64"/>
      <c r="AA180" s="274"/>
      <c r="AB180" s="274"/>
      <c r="AC180" s="274"/>
      <c r="AD180" s="274"/>
      <c r="AE180" s="274"/>
      <c r="AF180" s="86"/>
      <c r="AG180" s="68"/>
      <c r="AH180" s="274"/>
      <c r="AI180" s="68"/>
      <c r="AJ180" s="68"/>
      <c r="AK180" s="68"/>
      <c r="AL180" s="282"/>
      <c r="AM180" s="283"/>
      <c r="AN180" s="58"/>
      <c r="AO180" s="58"/>
      <c r="AP180" s="102"/>
      <c r="AQ180" s="277"/>
      <c r="AR180" s="89"/>
      <c r="AS180" s="277"/>
      <c r="AT180" s="277"/>
      <c r="AU180" s="277"/>
      <c r="AV180" s="277"/>
      <c r="AW180" s="277"/>
      <c r="AX180" s="277"/>
      <c r="AY180" s="277"/>
      <c r="AZ180" s="277"/>
      <c r="BA180" s="277"/>
      <c r="BB180" s="284"/>
      <c r="BC180" s="284"/>
      <c r="BD180" s="284"/>
      <c r="BE180" s="284"/>
      <c r="BF180" s="284"/>
      <c r="BG180" s="285"/>
      <c r="BH180" s="277"/>
      <c r="BI180" s="277"/>
    </row>
    <row r="181" ht="15.75" customHeight="1">
      <c r="A181" s="274" t="s">
        <v>688</v>
      </c>
      <c r="B181" s="275" t="s">
        <v>63</v>
      </c>
      <c r="C181" s="276" t="s">
        <v>732</v>
      </c>
      <c r="D181" s="277" t="s">
        <v>733</v>
      </c>
      <c r="E181" s="277" t="s">
        <v>734</v>
      </c>
      <c r="F181" s="277"/>
      <c r="G181" s="277"/>
      <c r="H181" s="278">
        <v>360.0</v>
      </c>
      <c r="I181" s="277"/>
      <c r="J181" s="277" t="s">
        <v>68</v>
      </c>
      <c r="K181" s="277" t="s">
        <v>97</v>
      </c>
      <c r="L181" s="279">
        <v>30.0</v>
      </c>
      <c r="M181" s="280">
        <v>60.0</v>
      </c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81"/>
      <c r="Y181" s="262"/>
      <c r="Z181" s="64"/>
      <c r="AA181" s="274"/>
      <c r="AB181" s="274"/>
      <c r="AC181" s="274"/>
      <c r="AD181" s="274"/>
      <c r="AE181" s="274"/>
      <c r="AF181" s="86"/>
      <c r="AG181" s="68"/>
      <c r="AH181" s="274"/>
      <c r="AI181" s="68"/>
      <c r="AJ181" s="68"/>
      <c r="AK181" s="68"/>
      <c r="AL181" s="282"/>
      <c r="AM181" s="283"/>
      <c r="AN181" s="58"/>
      <c r="AO181" s="58"/>
      <c r="AP181" s="102"/>
      <c r="AQ181" s="277"/>
      <c r="AR181" s="89"/>
      <c r="AS181" s="277"/>
      <c r="AT181" s="277"/>
      <c r="AU181" s="277"/>
      <c r="AV181" s="277"/>
      <c r="AW181" s="277"/>
      <c r="AX181" s="277"/>
      <c r="AY181" s="277"/>
      <c r="AZ181" s="277"/>
      <c r="BA181" s="277"/>
      <c r="BB181" s="284"/>
      <c r="BC181" s="284"/>
      <c r="BD181" s="284"/>
      <c r="BE181" s="284"/>
      <c r="BF181" s="284"/>
      <c r="BG181" s="285"/>
      <c r="BH181" s="277"/>
      <c r="BI181" s="277"/>
    </row>
    <row r="182" ht="15.75" customHeight="1">
      <c r="A182" s="288" t="s">
        <v>735</v>
      </c>
      <c r="B182" s="289" t="s">
        <v>63</v>
      </c>
      <c r="C182" s="290" t="s">
        <v>729</v>
      </c>
      <c r="D182" s="291" t="s">
        <v>730</v>
      </c>
      <c r="E182" s="291" t="s">
        <v>731</v>
      </c>
      <c r="F182" s="291"/>
      <c r="G182" s="291"/>
      <c r="H182" s="292">
        <v>360.0</v>
      </c>
      <c r="I182" s="291" t="s">
        <v>67</v>
      </c>
      <c r="J182" s="291" t="s">
        <v>68</v>
      </c>
      <c r="K182" s="291" t="s">
        <v>97</v>
      </c>
      <c r="L182" s="293">
        <v>40.0</v>
      </c>
      <c r="M182" s="294">
        <v>60.0</v>
      </c>
      <c r="N182" s="288"/>
      <c r="O182" s="288"/>
      <c r="P182" s="288"/>
      <c r="Q182" s="288"/>
      <c r="R182" s="288"/>
      <c r="S182" s="288"/>
      <c r="T182" s="288"/>
      <c r="U182" s="288"/>
      <c r="V182" s="288"/>
      <c r="W182" s="288"/>
      <c r="X182" s="295"/>
      <c r="Y182" s="262"/>
      <c r="Z182" s="64"/>
      <c r="AA182" s="296"/>
      <c r="AB182" s="296"/>
      <c r="AC182" s="296"/>
      <c r="AD182" s="296"/>
      <c r="AE182" s="296"/>
      <c r="AF182" s="86"/>
      <c r="AG182" s="68"/>
      <c r="AH182" s="296"/>
      <c r="AI182" s="68"/>
      <c r="AJ182" s="68"/>
      <c r="AK182" s="68"/>
      <c r="AL182" s="282"/>
      <c r="AM182" s="283"/>
      <c r="AN182" s="58"/>
      <c r="AO182" s="58"/>
      <c r="AP182" s="102"/>
      <c r="AQ182" s="277"/>
      <c r="AR182" s="89"/>
      <c r="AS182" s="277"/>
      <c r="AT182" s="277"/>
      <c r="AU182" s="277"/>
      <c r="AV182" s="277"/>
      <c r="AW182" s="277"/>
      <c r="AX182" s="277"/>
      <c r="AY182" s="277"/>
      <c r="AZ182" s="277"/>
      <c r="BA182" s="277"/>
      <c r="BB182" s="284"/>
      <c r="BC182" s="284"/>
      <c r="BD182" s="284"/>
      <c r="BE182" s="284"/>
      <c r="BF182" s="284"/>
      <c r="BG182" s="285"/>
      <c r="BH182" s="277"/>
      <c r="BI182" s="277"/>
    </row>
    <row r="183" ht="15.75" customHeight="1">
      <c r="A183" s="297" t="s">
        <v>736</v>
      </c>
      <c r="B183" s="298" t="s">
        <v>63</v>
      </c>
      <c r="C183" s="299" t="s">
        <v>737</v>
      </c>
      <c r="D183" s="300" t="s">
        <v>65</v>
      </c>
      <c r="E183" s="300" t="s">
        <v>738</v>
      </c>
      <c r="F183" s="301" t="s">
        <v>739</v>
      </c>
      <c r="G183" s="300"/>
      <c r="H183" s="300">
        <v>420.0</v>
      </c>
      <c r="I183" s="300"/>
      <c r="J183" s="300" t="s">
        <v>68</v>
      </c>
      <c r="K183" s="300" t="s">
        <v>69</v>
      </c>
      <c r="L183" s="302"/>
      <c r="M183" s="303">
        <v>50.0</v>
      </c>
      <c r="N183" s="297"/>
      <c r="O183" s="297"/>
      <c r="P183" s="297"/>
      <c r="Q183" s="297"/>
      <c r="R183" s="297"/>
      <c r="S183" s="297"/>
      <c r="T183" s="297"/>
      <c r="U183" s="297"/>
      <c r="V183" s="297"/>
      <c r="W183" s="297"/>
      <c r="X183" s="304"/>
      <c r="Y183" s="262">
        <f t="shared" ref="Y183:Y203" si="129">SUM(S183:T183)</f>
        <v>0</v>
      </c>
      <c r="Z183" s="64" t="str">
        <f t="shared" ref="Z183:Z200" si="130">S183/Y183</f>
        <v>#DIV/0!</v>
      </c>
      <c r="AA183" s="297"/>
      <c r="AB183" s="297"/>
      <c r="AC183" s="297"/>
      <c r="AD183" s="297"/>
      <c r="AE183" s="297"/>
      <c r="AF183" s="86" t="str">
        <f>DATEDIF(#REF!,#REF!,"M")+1</f>
        <v>#REF!</v>
      </c>
      <c r="AG183" s="68" t="str">
        <f>LARGE(AS183:BA183,1)*((AA183*AB183)+(AC183*AD183)+(AE183*AF183))</f>
        <v>#NUM!</v>
      </c>
      <c r="AH183" s="297"/>
      <c r="AI183" s="68">
        <f>AA183*0.2</f>
        <v>0</v>
      </c>
      <c r="AJ183" s="68" t="str">
        <f t="shared" ref="AJ183:AJ185" si="131">AG183*0.025</f>
        <v>#NUM!</v>
      </c>
      <c r="AK183" s="68" t="str">
        <f>0.03*AG183</f>
        <v>#NUM!</v>
      </c>
      <c r="AL183" s="300" t="s">
        <v>740</v>
      </c>
      <c r="AM183" s="305">
        <v>2015.0</v>
      </c>
      <c r="AN183" s="58"/>
      <c r="AO183" s="58">
        <f t="shared" ref="AO183:AO200" si="132">AM183+6</f>
        <v>2021</v>
      </c>
      <c r="AP183" s="102" t="s">
        <v>156</v>
      </c>
      <c r="AQ183" s="300"/>
      <c r="AR183" s="89" t="s">
        <v>121</v>
      </c>
      <c r="AS183" s="300"/>
      <c r="AT183" s="300"/>
      <c r="AU183" s="300"/>
      <c r="AV183" s="300"/>
      <c r="AW183" s="300"/>
      <c r="AX183" s="300"/>
      <c r="AY183" s="300"/>
      <c r="AZ183" s="300"/>
      <c r="BA183" s="300"/>
      <c r="BB183" s="306">
        <v>44817.0</v>
      </c>
      <c r="BC183" s="306">
        <v>44817.0</v>
      </c>
      <c r="BD183" s="306">
        <v>44817.0</v>
      </c>
      <c r="BE183" s="306">
        <v>44817.0</v>
      </c>
      <c r="BF183" s="306">
        <v>44817.0</v>
      </c>
      <c r="BG183" s="307"/>
      <c r="BH183" s="300"/>
      <c r="BI183" s="301" t="s">
        <v>63</v>
      </c>
    </row>
    <row r="184" ht="60.0" customHeight="1">
      <c r="A184" s="297" t="s">
        <v>736</v>
      </c>
      <c r="B184" s="308" t="s">
        <v>63</v>
      </c>
      <c r="C184" s="299" t="s">
        <v>693</v>
      </c>
      <c r="D184" s="300" t="s">
        <v>295</v>
      </c>
      <c r="E184" s="300" t="s">
        <v>741</v>
      </c>
      <c r="F184" s="300" t="s">
        <v>742</v>
      </c>
      <c r="G184" s="300" t="s">
        <v>743</v>
      </c>
      <c r="H184" s="309">
        <v>360.0</v>
      </c>
      <c r="I184" s="300" t="s">
        <v>74</v>
      </c>
      <c r="J184" s="300" t="s">
        <v>68</v>
      </c>
      <c r="K184" s="300" t="s">
        <v>695</v>
      </c>
      <c r="L184" s="302">
        <v>35.0</v>
      </c>
      <c r="M184" s="303">
        <v>50.0</v>
      </c>
      <c r="N184" s="297">
        <v>2023.0</v>
      </c>
      <c r="O184" s="297" t="s">
        <v>744</v>
      </c>
      <c r="P184" s="308" t="s">
        <v>745</v>
      </c>
      <c r="Q184" s="297" t="s">
        <v>85</v>
      </c>
      <c r="R184" s="297" t="s">
        <v>86</v>
      </c>
      <c r="S184" s="297">
        <v>6.0</v>
      </c>
      <c r="T184" s="297">
        <v>1.0</v>
      </c>
      <c r="U184" s="297"/>
      <c r="V184" s="297">
        <v>5.0</v>
      </c>
      <c r="W184" s="297">
        <v>1.0</v>
      </c>
      <c r="X184" s="304">
        <v>1.0</v>
      </c>
      <c r="Y184" s="262">
        <f t="shared" si="129"/>
        <v>7</v>
      </c>
      <c r="Z184" s="64">
        <f t="shared" si="130"/>
        <v>0.8571428571</v>
      </c>
      <c r="AA184" s="310">
        <v>100.0</v>
      </c>
      <c r="AB184" s="297">
        <v>1.0</v>
      </c>
      <c r="AC184" s="310">
        <v>200.0</v>
      </c>
      <c r="AD184" s="297">
        <v>1.0</v>
      </c>
      <c r="AE184" s="310">
        <v>250.0</v>
      </c>
      <c r="AF184" s="86" t="s">
        <v>232</v>
      </c>
      <c r="AG184" s="68">
        <v>133000.0</v>
      </c>
      <c r="AH184" s="310">
        <v>96425.0</v>
      </c>
      <c r="AI184" s="68">
        <v>26600.0</v>
      </c>
      <c r="AJ184" s="68">
        <f t="shared" si="131"/>
        <v>3325</v>
      </c>
      <c r="AK184" s="68">
        <f>0.05*AG184</f>
        <v>6650</v>
      </c>
      <c r="AL184" s="301" t="s">
        <v>746</v>
      </c>
      <c r="AM184" s="305">
        <v>2023.0</v>
      </c>
      <c r="AN184" s="59" t="s">
        <v>155</v>
      </c>
      <c r="AO184" s="311">
        <f t="shared" si="132"/>
        <v>2029</v>
      </c>
      <c r="AP184" s="102" t="s">
        <v>156</v>
      </c>
      <c r="AQ184" s="300"/>
      <c r="AR184" s="89" t="s">
        <v>102</v>
      </c>
      <c r="AS184" s="300"/>
      <c r="AT184" s="300"/>
      <c r="AU184" s="300"/>
      <c r="AV184" s="300"/>
      <c r="AW184" s="277"/>
      <c r="AX184" s="277"/>
      <c r="AY184" s="277"/>
      <c r="AZ184" s="277"/>
      <c r="BA184" s="277"/>
      <c r="BB184" s="284">
        <v>44817.0</v>
      </c>
      <c r="BC184" s="284">
        <v>44817.0</v>
      </c>
      <c r="BD184" s="284">
        <v>44817.0</v>
      </c>
      <c r="BE184" s="284">
        <v>44817.0</v>
      </c>
      <c r="BF184" s="284">
        <v>44817.0</v>
      </c>
      <c r="BG184" s="285"/>
      <c r="BH184" s="277"/>
      <c r="BI184" s="277" t="s">
        <v>129</v>
      </c>
    </row>
    <row r="185" ht="15.75" customHeight="1">
      <c r="A185" s="297" t="s">
        <v>736</v>
      </c>
      <c r="B185" s="297"/>
      <c r="C185" s="299" t="s">
        <v>582</v>
      </c>
      <c r="D185" s="300" t="s">
        <v>295</v>
      </c>
      <c r="E185" s="300" t="s">
        <v>747</v>
      </c>
      <c r="F185" s="301" t="s">
        <v>748</v>
      </c>
      <c r="G185" s="300"/>
      <c r="H185" s="300">
        <v>430.0</v>
      </c>
      <c r="I185" s="300"/>
      <c r="J185" s="300" t="s">
        <v>68</v>
      </c>
      <c r="K185" s="300" t="s">
        <v>69</v>
      </c>
      <c r="L185" s="302"/>
      <c r="M185" s="303">
        <v>50.0</v>
      </c>
      <c r="N185" s="297"/>
      <c r="O185" s="297"/>
      <c r="P185" s="297"/>
      <c r="Q185" s="297"/>
      <c r="R185" s="297"/>
      <c r="S185" s="297"/>
      <c r="T185" s="297"/>
      <c r="U185" s="297"/>
      <c r="V185" s="297"/>
      <c r="W185" s="297"/>
      <c r="X185" s="304"/>
      <c r="Y185" s="262">
        <f t="shared" si="129"/>
        <v>0</v>
      </c>
      <c r="Z185" s="64" t="str">
        <f t="shared" si="130"/>
        <v>#DIV/0!</v>
      </c>
      <c r="AA185" s="297"/>
      <c r="AB185" s="297"/>
      <c r="AC185" s="297"/>
      <c r="AD185" s="297"/>
      <c r="AE185" s="297"/>
      <c r="AF185" s="86" t="str">
        <f>DATEDIF(#REF!,#REF!,"M")+1</f>
        <v>#REF!</v>
      </c>
      <c r="AG185" s="68" t="str">
        <f>LARGE(AS185:BA185,1)*((AA185*AB185)+(AC185*AD185)+(AE185*AF185))</f>
        <v>#NUM!</v>
      </c>
      <c r="AH185" s="297"/>
      <c r="AI185" s="68">
        <f>AA185*0.2</f>
        <v>0</v>
      </c>
      <c r="AJ185" s="68" t="str">
        <f t="shared" si="131"/>
        <v>#NUM!</v>
      </c>
      <c r="AK185" s="68" t="str">
        <f>0.03*AG185</f>
        <v>#NUM!</v>
      </c>
      <c r="AL185" s="300" t="s">
        <v>749</v>
      </c>
      <c r="AM185" s="305">
        <v>2010.0</v>
      </c>
      <c r="AN185" s="59"/>
      <c r="AO185" s="58">
        <f t="shared" si="132"/>
        <v>2016</v>
      </c>
      <c r="AP185" s="89" t="s">
        <v>88</v>
      </c>
      <c r="AQ185" s="300"/>
      <c r="AR185" s="89" t="s">
        <v>121</v>
      </c>
      <c r="AS185" s="300"/>
      <c r="AT185" s="300"/>
      <c r="AU185" s="300"/>
      <c r="AV185" s="300"/>
      <c r="AW185" s="300"/>
      <c r="AX185" s="300"/>
      <c r="AY185" s="300"/>
      <c r="AZ185" s="300"/>
      <c r="BA185" s="300"/>
      <c r="BB185" s="306">
        <v>44817.0</v>
      </c>
      <c r="BC185" s="306">
        <v>44817.0</v>
      </c>
      <c r="BD185" s="306">
        <v>44817.0</v>
      </c>
      <c r="BE185" s="306">
        <v>44817.0</v>
      </c>
      <c r="BF185" s="306">
        <v>44817.0</v>
      </c>
      <c r="BG185" s="307"/>
      <c r="BH185" s="300"/>
      <c r="BI185" s="300" t="s">
        <v>129</v>
      </c>
    </row>
    <row r="186" ht="15.75" customHeight="1">
      <c r="A186" s="297" t="s">
        <v>736</v>
      </c>
      <c r="B186" s="298" t="s">
        <v>63</v>
      </c>
      <c r="C186" s="299" t="s">
        <v>750</v>
      </c>
      <c r="D186" s="300" t="s">
        <v>65</v>
      </c>
      <c r="E186" s="300" t="s">
        <v>751</v>
      </c>
      <c r="F186" s="312" t="s">
        <v>752</v>
      </c>
      <c r="G186" s="300" t="s">
        <v>753</v>
      </c>
      <c r="H186" s="313">
        <v>5760.0</v>
      </c>
      <c r="I186" s="300" t="s">
        <v>74</v>
      </c>
      <c r="J186" s="300" t="s">
        <v>429</v>
      </c>
      <c r="K186" s="300" t="s">
        <v>69</v>
      </c>
      <c r="L186" s="302">
        <v>3.0</v>
      </c>
      <c r="M186" s="303">
        <v>3.0</v>
      </c>
      <c r="N186" s="297">
        <v>2014.0</v>
      </c>
      <c r="O186" s="314" t="s">
        <v>754</v>
      </c>
      <c r="P186" s="298" t="s">
        <v>755</v>
      </c>
      <c r="Q186" s="297" t="s">
        <v>85</v>
      </c>
      <c r="R186" s="297" t="s">
        <v>86</v>
      </c>
      <c r="S186" s="297">
        <v>8.0</v>
      </c>
      <c r="T186" s="297">
        <v>0.0</v>
      </c>
      <c r="U186" s="297"/>
      <c r="V186" s="297">
        <v>6.0</v>
      </c>
      <c r="W186" s="297">
        <v>2.0</v>
      </c>
      <c r="X186" s="304"/>
      <c r="Y186" s="262">
        <f t="shared" si="129"/>
        <v>8</v>
      </c>
      <c r="Z186" s="64">
        <f t="shared" si="130"/>
        <v>1</v>
      </c>
      <c r="AA186" s="297" t="s">
        <v>370</v>
      </c>
      <c r="AB186" s="315" t="s">
        <v>370</v>
      </c>
      <c r="AC186" s="315" t="s">
        <v>370</v>
      </c>
      <c r="AD186" s="315" t="s">
        <v>370</v>
      </c>
      <c r="AE186" s="315" t="s">
        <v>370</v>
      </c>
      <c r="AF186" s="86" t="s">
        <v>370</v>
      </c>
      <c r="AG186" s="68" t="s">
        <v>370</v>
      </c>
      <c r="AH186" s="297" t="s">
        <v>370</v>
      </c>
      <c r="AI186" s="68" t="s">
        <v>370</v>
      </c>
      <c r="AJ186" s="68" t="s">
        <v>370</v>
      </c>
      <c r="AK186" s="68" t="s">
        <v>370</v>
      </c>
      <c r="AL186" s="316" t="s">
        <v>756</v>
      </c>
      <c r="AM186" s="305">
        <v>2020.0</v>
      </c>
      <c r="AN186" s="59" t="s">
        <v>155</v>
      </c>
      <c r="AO186" s="58">
        <f t="shared" si="132"/>
        <v>2026</v>
      </c>
      <c r="AP186" s="89" t="s">
        <v>156</v>
      </c>
      <c r="AQ186" s="300"/>
      <c r="AR186" s="89" t="s">
        <v>121</v>
      </c>
      <c r="AS186" s="300"/>
      <c r="AT186" s="300"/>
      <c r="AU186" s="300"/>
      <c r="AV186" s="300"/>
      <c r="AW186" s="300"/>
      <c r="AX186" s="300"/>
      <c r="AY186" s="300"/>
      <c r="AZ186" s="300"/>
      <c r="BA186" s="300"/>
      <c r="BB186" s="306">
        <v>44817.0</v>
      </c>
      <c r="BC186" s="306">
        <v>44817.0</v>
      </c>
      <c r="BD186" s="306">
        <v>44817.0</v>
      </c>
      <c r="BE186" s="306">
        <v>44817.0</v>
      </c>
      <c r="BF186" s="306">
        <v>44817.0</v>
      </c>
      <c r="BG186" s="307"/>
      <c r="BH186" s="300"/>
      <c r="BI186" s="300" t="s">
        <v>129</v>
      </c>
    </row>
    <row r="187" ht="15.75" customHeight="1">
      <c r="A187" s="297" t="s">
        <v>736</v>
      </c>
      <c r="B187" s="298" t="s">
        <v>63</v>
      </c>
      <c r="C187" s="299" t="s">
        <v>757</v>
      </c>
      <c r="D187" s="300" t="s">
        <v>295</v>
      </c>
      <c r="E187" s="300" t="s">
        <v>758</v>
      </c>
      <c r="F187" s="300" t="s">
        <v>759</v>
      </c>
      <c r="G187" s="300"/>
      <c r="H187" s="300">
        <v>450.0</v>
      </c>
      <c r="I187" s="300"/>
      <c r="J187" s="300" t="s">
        <v>68</v>
      </c>
      <c r="K187" s="300" t="s">
        <v>97</v>
      </c>
      <c r="L187" s="302"/>
      <c r="M187" s="303">
        <v>150.0</v>
      </c>
      <c r="N187" s="297"/>
      <c r="O187" s="297"/>
      <c r="P187" s="297"/>
      <c r="Q187" s="297"/>
      <c r="R187" s="297"/>
      <c r="S187" s="297"/>
      <c r="T187" s="297"/>
      <c r="U187" s="297"/>
      <c r="V187" s="297"/>
      <c r="W187" s="297"/>
      <c r="X187" s="304"/>
      <c r="Y187" s="262">
        <f t="shared" si="129"/>
        <v>0</v>
      </c>
      <c r="Z187" s="64" t="str">
        <f t="shared" si="130"/>
        <v>#DIV/0!</v>
      </c>
      <c r="AA187" s="297"/>
      <c r="AB187" s="297"/>
      <c r="AC187" s="297"/>
      <c r="AD187" s="297"/>
      <c r="AE187" s="297"/>
      <c r="AF187" s="86" t="str">
        <f t="shared" ref="AF187:AF203" si="133">DATEDIF(#REF!,#REF!,"M")+1</f>
        <v>#REF!</v>
      </c>
      <c r="AG187" s="68" t="str">
        <f t="shared" ref="AG187:AG203" si="134">LARGE(AS187:BA187,1)*((AA187*AB187)+(AC187*AD187)+(AE187*AF187))</f>
        <v>#NUM!</v>
      </c>
      <c r="AH187" s="297"/>
      <c r="AI187" s="68">
        <f t="shared" ref="AI187:AI203" si="135">AA187*0.2</f>
        <v>0</v>
      </c>
      <c r="AJ187" s="68" t="str">
        <f t="shared" ref="AJ187:AJ203" si="136">AG187*0.025</f>
        <v>#NUM!</v>
      </c>
      <c r="AK187" s="68" t="str">
        <f t="shared" ref="AK187:AK203" si="137">0.03*AG187</f>
        <v>#NUM!</v>
      </c>
      <c r="AL187" s="300" t="s">
        <v>760</v>
      </c>
      <c r="AM187" s="305">
        <v>2018.0</v>
      </c>
      <c r="AN187" s="58"/>
      <c r="AO187" s="58">
        <f t="shared" si="132"/>
        <v>2024</v>
      </c>
      <c r="AP187" s="300"/>
      <c r="AQ187" s="300"/>
      <c r="AR187" s="102" t="s">
        <v>121</v>
      </c>
      <c r="AS187" s="300"/>
      <c r="AT187" s="300"/>
      <c r="AU187" s="300"/>
      <c r="AV187" s="300"/>
      <c r="AW187" s="300"/>
      <c r="AX187" s="300"/>
      <c r="AY187" s="300"/>
      <c r="AZ187" s="300"/>
      <c r="BA187" s="300"/>
      <c r="BB187" s="306">
        <v>44817.0</v>
      </c>
      <c r="BC187" s="306">
        <v>44817.0</v>
      </c>
      <c r="BD187" s="306">
        <v>44817.0</v>
      </c>
      <c r="BE187" s="306">
        <v>44817.0</v>
      </c>
      <c r="BF187" s="306">
        <v>44817.0</v>
      </c>
      <c r="BG187" s="307"/>
      <c r="BH187" s="300"/>
      <c r="BI187" s="300" t="s">
        <v>129</v>
      </c>
    </row>
    <row r="188" ht="15.75" customHeight="1">
      <c r="A188" s="297" t="s">
        <v>736</v>
      </c>
      <c r="B188" s="298" t="s">
        <v>63</v>
      </c>
      <c r="C188" s="299" t="s">
        <v>761</v>
      </c>
      <c r="D188" s="300" t="s">
        <v>701</v>
      </c>
      <c r="E188" s="300" t="s">
        <v>762</v>
      </c>
      <c r="F188" s="300" t="s">
        <v>763</v>
      </c>
      <c r="G188" s="300"/>
      <c r="H188" s="300">
        <v>405.0</v>
      </c>
      <c r="I188" s="300"/>
      <c r="J188" s="300" t="s">
        <v>68</v>
      </c>
      <c r="K188" s="300" t="s">
        <v>69</v>
      </c>
      <c r="L188" s="302"/>
      <c r="M188" s="303">
        <v>50.0</v>
      </c>
      <c r="N188" s="297"/>
      <c r="O188" s="297"/>
      <c r="P188" s="297"/>
      <c r="Q188" s="297"/>
      <c r="R188" s="297"/>
      <c r="S188" s="297"/>
      <c r="T188" s="297"/>
      <c r="U188" s="297"/>
      <c r="V188" s="297"/>
      <c r="W188" s="297"/>
      <c r="X188" s="304"/>
      <c r="Y188" s="262">
        <f t="shared" si="129"/>
        <v>0</v>
      </c>
      <c r="Z188" s="64" t="str">
        <f t="shared" si="130"/>
        <v>#DIV/0!</v>
      </c>
      <c r="AA188" s="297"/>
      <c r="AB188" s="297"/>
      <c r="AC188" s="297"/>
      <c r="AD188" s="297"/>
      <c r="AE188" s="297"/>
      <c r="AF188" s="86" t="str">
        <f t="shared" si="133"/>
        <v>#REF!</v>
      </c>
      <c r="AG188" s="68" t="str">
        <f t="shared" si="134"/>
        <v>#NUM!</v>
      </c>
      <c r="AH188" s="297"/>
      <c r="AI188" s="68">
        <f t="shared" si="135"/>
        <v>0</v>
      </c>
      <c r="AJ188" s="68" t="str">
        <f t="shared" si="136"/>
        <v>#NUM!</v>
      </c>
      <c r="AK188" s="68" t="str">
        <f t="shared" si="137"/>
        <v>#NUM!</v>
      </c>
      <c r="AL188" s="300" t="s">
        <v>764</v>
      </c>
      <c r="AM188" s="305">
        <v>2013.0</v>
      </c>
      <c r="AN188" s="58"/>
      <c r="AO188" s="58">
        <f t="shared" si="132"/>
        <v>2019</v>
      </c>
      <c r="AP188" s="300"/>
      <c r="AQ188" s="300"/>
      <c r="AR188" s="102" t="s">
        <v>121</v>
      </c>
      <c r="AS188" s="300"/>
      <c r="AT188" s="300"/>
      <c r="AU188" s="300"/>
      <c r="AV188" s="300"/>
      <c r="AW188" s="300"/>
      <c r="AX188" s="300"/>
      <c r="AY188" s="300"/>
      <c r="AZ188" s="300"/>
      <c r="BA188" s="300"/>
      <c r="BB188" s="306">
        <v>44817.0</v>
      </c>
      <c r="BC188" s="306">
        <v>44817.0</v>
      </c>
      <c r="BD188" s="306">
        <v>44817.0</v>
      </c>
      <c r="BE188" s="306">
        <v>44817.0</v>
      </c>
      <c r="BF188" s="306">
        <v>44817.0</v>
      </c>
      <c r="BG188" s="307"/>
      <c r="BH188" s="300"/>
      <c r="BI188" s="300" t="s">
        <v>129</v>
      </c>
    </row>
    <row r="189" ht="15.75" customHeight="1">
      <c r="A189" s="297" t="s">
        <v>736</v>
      </c>
      <c r="B189" s="298" t="s">
        <v>63</v>
      </c>
      <c r="C189" s="299" t="s">
        <v>765</v>
      </c>
      <c r="D189" s="300" t="s">
        <v>701</v>
      </c>
      <c r="E189" s="300" t="s">
        <v>766</v>
      </c>
      <c r="F189" s="300" t="s">
        <v>129</v>
      </c>
      <c r="G189" s="300"/>
      <c r="H189" s="300">
        <v>405.0</v>
      </c>
      <c r="I189" s="300"/>
      <c r="J189" s="300" t="s">
        <v>68</v>
      </c>
      <c r="K189" s="300" t="s">
        <v>69</v>
      </c>
      <c r="L189" s="302"/>
      <c r="M189" s="303">
        <v>50.0</v>
      </c>
      <c r="N189" s="297"/>
      <c r="O189" s="297"/>
      <c r="P189" s="297"/>
      <c r="Q189" s="297"/>
      <c r="R189" s="297"/>
      <c r="S189" s="297"/>
      <c r="T189" s="297"/>
      <c r="U189" s="297"/>
      <c r="V189" s="297"/>
      <c r="W189" s="297"/>
      <c r="X189" s="304"/>
      <c r="Y189" s="262">
        <f t="shared" si="129"/>
        <v>0</v>
      </c>
      <c r="Z189" s="64" t="str">
        <f t="shared" si="130"/>
        <v>#DIV/0!</v>
      </c>
      <c r="AA189" s="297"/>
      <c r="AB189" s="297"/>
      <c r="AC189" s="297"/>
      <c r="AD189" s="297"/>
      <c r="AE189" s="297"/>
      <c r="AF189" s="86" t="str">
        <f t="shared" si="133"/>
        <v>#REF!</v>
      </c>
      <c r="AG189" s="68" t="str">
        <f t="shared" si="134"/>
        <v>#NUM!</v>
      </c>
      <c r="AH189" s="297"/>
      <c r="AI189" s="68">
        <f t="shared" si="135"/>
        <v>0</v>
      </c>
      <c r="AJ189" s="68" t="str">
        <f t="shared" si="136"/>
        <v>#NUM!</v>
      </c>
      <c r="AK189" s="68" t="str">
        <f t="shared" si="137"/>
        <v>#NUM!</v>
      </c>
      <c r="AL189" s="300" t="s">
        <v>767</v>
      </c>
      <c r="AM189" s="305">
        <v>1998.0</v>
      </c>
      <c r="AN189" s="58"/>
      <c r="AO189" s="58">
        <f t="shared" si="132"/>
        <v>2004</v>
      </c>
      <c r="AP189" s="300"/>
      <c r="AQ189" s="300"/>
      <c r="AR189" s="102" t="s">
        <v>121</v>
      </c>
      <c r="AS189" s="300"/>
      <c r="AT189" s="300"/>
      <c r="AU189" s="300"/>
      <c r="AV189" s="300"/>
      <c r="AW189" s="300"/>
      <c r="AX189" s="300"/>
      <c r="AY189" s="300"/>
      <c r="AZ189" s="300"/>
      <c r="BA189" s="300"/>
      <c r="BB189" s="306">
        <v>44817.0</v>
      </c>
      <c r="BC189" s="306">
        <v>44817.0</v>
      </c>
      <c r="BD189" s="306">
        <v>44817.0</v>
      </c>
      <c r="BE189" s="306">
        <v>44817.0</v>
      </c>
      <c r="BF189" s="306">
        <v>44817.0</v>
      </c>
      <c r="BG189" s="307"/>
      <c r="BH189" s="300"/>
      <c r="BI189" s="300" t="s">
        <v>129</v>
      </c>
    </row>
    <row r="190" ht="15.75" customHeight="1">
      <c r="A190" s="297" t="s">
        <v>736</v>
      </c>
      <c r="B190" s="298" t="s">
        <v>63</v>
      </c>
      <c r="C190" s="299" t="s">
        <v>768</v>
      </c>
      <c r="D190" s="300" t="s">
        <v>634</v>
      </c>
      <c r="E190" s="300" t="s">
        <v>769</v>
      </c>
      <c r="F190" s="300" t="s">
        <v>739</v>
      </c>
      <c r="G190" s="300"/>
      <c r="H190" s="300">
        <v>405.0</v>
      </c>
      <c r="I190" s="300"/>
      <c r="J190" s="300" t="s">
        <v>68</v>
      </c>
      <c r="K190" s="300" t="s">
        <v>69</v>
      </c>
      <c r="L190" s="302"/>
      <c r="M190" s="303">
        <v>50.0</v>
      </c>
      <c r="N190" s="297"/>
      <c r="O190" s="297"/>
      <c r="P190" s="297"/>
      <c r="Q190" s="297"/>
      <c r="R190" s="297"/>
      <c r="S190" s="297"/>
      <c r="T190" s="297"/>
      <c r="U190" s="297"/>
      <c r="V190" s="297"/>
      <c r="W190" s="297"/>
      <c r="X190" s="304"/>
      <c r="Y190" s="262">
        <f t="shared" si="129"/>
        <v>0</v>
      </c>
      <c r="Z190" s="64" t="str">
        <f t="shared" si="130"/>
        <v>#DIV/0!</v>
      </c>
      <c r="AA190" s="297"/>
      <c r="AB190" s="297"/>
      <c r="AC190" s="297"/>
      <c r="AD190" s="297"/>
      <c r="AE190" s="297"/>
      <c r="AF190" s="86" t="str">
        <f t="shared" si="133"/>
        <v>#REF!</v>
      </c>
      <c r="AG190" s="68" t="str">
        <f t="shared" si="134"/>
        <v>#NUM!</v>
      </c>
      <c r="AH190" s="297"/>
      <c r="AI190" s="68">
        <f t="shared" si="135"/>
        <v>0</v>
      </c>
      <c r="AJ190" s="68" t="str">
        <f t="shared" si="136"/>
        <v>#NUM!</v>
      </c>
      <c r="AK190" s="68" t="str">
        <f t="shared" si="137"/>
        <v>#NUM!</v>
      </c>
      <c r="AL190" s="300" t="s">
        <v>770</v>
      </c>
      <c r="AM190" s="305">
        <v>2016.0</v>
      </c>
      <c r="AN190" s="58"/>
      <c r="AO190" s="58">
        <f t="shared" si="132"/>
        <v>2022</v>
      </c>
      <c r="AP190" s="300"/>
      <c r="AQ190" s="300"/>
      <c r="AR190" s="102" t="s">
        <v>121</v>
      </c>
      <c r="AS190" s="300"/>
      <c r="AT190" s="300"/>
      <c r="AU190" s="300"/>
      <c r="AV190" s="300"/>
      <c r="AW190" s="300"/>
      <c r="AX190" s="300"/>
      <c r="AY190" s="300"/>
      <c r="AZ190" s="300"/>
      <c r="BA190" s="300"/>
      <c r="BB190" s="306">
        <v>44817.0</v>
      </c>
      <c r="BC190" s="306">
        <v>44817.0</v>
      </c>
      <c r="BD190" s="306">
        <v>44817.0</v>
      </c>
      <c r="BE190" s="306">
        <v>44817.0</v>
      </c>
      <c r="BF190" s="306">
        <v>44817.0</v>
      </c>
      <c r="BG190" s="307"/>
      <c r="BH190" s="300"/>
      <c r="BI190" s="300" t="s">
        <v>129</v>
      </c>
    </row>
    <row r="191" ht="15.75" customHeight="1">
      <c r="A191" s="297" t="s">
        <v>736</v>
      </c>
      <c r="B191" s="298" t="s">
        <v>63</v>
      </c>
      <c r="C191" s="299" t="s">
        <v>771</v>
      </c>
      <c r="D191" s="300" t="s">
        <v>295</v>
      </c>
      <c r="E191" s="300" t="s">
        <v>772</v>
      </c>
      <c r="F191" s="300" t="s">
        <v>129</v>
      </c>
      <c r="G191" s="300"/>
      <c r="H191" s="300">
        <v>405.0</v>
      </c>
      <c r="I191" s="300"/>
      <c r="J191" s="300" t="s">
        <v>68</v>
      </c>
      <c r="K191" s="300" t="s">
        <v>69</v>
      </c>
      <c r="L191" s="302"/>
      <c r="M191" s="303">
        <v>50.0</v>
      </c>
      <c r="N191" s="297"/>
      <c r="O191" s="297"/>
      <c r="P191" s="297"/>
      <c r="Q191" s="297"/>
      <c r="R191" s="297"/>
      <c r="S191" s="297"/>
      <c r="T191" s="297"/>
      <c r="U191" s="297"/>
      <c r="V191" s="297"/>
      <c r="W191" s="297"/>
      <c r="X191" s="304"/>
      <c r="Y191" s="262">
        <f t="shared" si="129"/>
        <v>0</v>
      </c>
      <c r="Z191" s="64" t="str">
        <f t="shared" si="130"/>
        <v>#DIV/0!</v>
      </c>
      <c r="AA191" s="297"/>
      <c r="AB191" s="297"/>
      <c r="AC191" s="297"/>
      <c r="AD191" s="297"/>
      <c r="AE191" s="297"/>
      <c r="AF191" s="86" t="str">
        <f t="shared" si="133"/>
        <v>#REF!</v>
      </c>
      <c r="AG191" s="68" t="str">
        <f t="shared" si="134"/>
        <v>#NUM!</v>
      </c>
      <c r="AH191" s="297"/>
      <c r="AI191" s="68">
        <f t="shared" si="135"/>
        <v>0</v>
      </c>
      <c r="AJ191" s="68" t="str">
        <f t="shared" si="136"/>
        <v>#NUM!</v>
      </c>
      <c r="AK191" s="68" t="str">
        <f t="shared" si="137"/>
        <v>#NUM!</v>
      </c>
      <c r="AL191" s="300" t="s">
        <v>749</v>
      </c>
      <c r="AM191" s="305">
        <v>2010.0</v>
      </c>
      <c r="AN191" s="58"/>
      <c r="AO191" s="58">
        <f t="shared" si="132"/>
        <v>2016</v>
      </c>
      <c r="AP191" s="300"/>
      <c r="AQ191" s="300"/>
      <c r="AR191" s="102" t="s">
        <v>121</v>
      </c>
      <c r="AS191" s="300"/>
      <c r="AT191" s="300"/>
      <c r="AU191" s="300"/>
      <c r="AV191" s="300"/>
      <c r="AW191" s="300"/>
      <c r="AX191" s="300"/>
      <c r="AY191" s="300"/>
      <c r="AZ191" s="300"/>
      <c r="BA191" s="300"/>
      <c r="BB191" s="306">
        <v>44817.0</v>
      </c>
      <c r="BC191" s="306">
        <v>44817.0</v>
      </c>
      <c r="BD191" s="306">
        <v>44817.0</v>
      </c>
      <c r="BE191" s="306">
        <v>44817.0</v>
      </c>
      <c r="BF191" s="306">
        <v>44817.0</v>
      </c>
      <c r="BG191" s="307"/>
      <c r="BH191" s="300"/>
      <c r="BI191" s="300" t="s">
        <v>129</v>
      </c>
    </row>
    <row r="192" ht="15.75" customHeight="1">
      <c r="A192" s="297" t="s">
        <v>736</v>
      </c>
      <c r="B192" s="298" t="s">
        <v>63</v>
      </c>
      <c r="C192" s="299" t="s">
        <v>773</v>
      </c>
      <c r="D192" s="300" t="s">
        <v>295</v>
      </c>
      <c r="E192" s="300" t="s">
        <v>774</v>
      </c>
      <c r="F192" s="300" t="s">
        <v>775</v>
      </c>
      <c r="G192" s="300"/>
      <c r="H192" s="300">
        <v>410.0</v>
      </c>
      <c r="I192" s="300"/>
      <c r="J192" s="300" t="s">
        <v>68</v>
      </c>
      <c r="K192" s="300" t="s">
        <v>69</v>
      </c>
      <c r="L192" s="302"/>
      <c r="M192" s="303">
        <v>50.0</v>
      </c>
      <c r="N192" s="297"/>
      <c r="O192" s="297"/>
      <c r="P192" s="297"/>
      <c r="Q192" s="297"/>
      <c r="R192" s="297"/>
      <c r="S192" s="297"/>
      <c r="T192" s="297"/>
      <c r="U192" s="297"/>
      <c r="V192" s="297"/>
      <c r="W192" s="297"/>
      <c r="X192" s="304"/>
      <c r="Y192" s="262">
        <f t="shared" si="129"/>
        <v>0</v>
      </c>
      <c r="Z192" s="64" t="str">
        <f t="shared" si="130"/>
        <v>#DIV/0!</v>
      </c>
      <c r="AA192" s="297"/>
      <c r="AB192" s="297"/>
      <c r="AC192" s="297"/>
      <c r="AD192" s="297"/>
      <c r="AE192" s="297"/>
      <c r="AF192" s="86" t="str">
        <f t="shared" si="133"/>
        <v>#REF!</v>
      </c>
      <c r="AG192" s="68" t="str">
        <f t="shared" si="134"/>
        <v>#NUM!</v>
      </c>
      <c r="AH192" s="297"/>
      <c r="AI192" s="68">
        <f t="shared" si="135"/>
        <v>0</v>
      </c>
      <c r="AJ192" s="68" t="str">
        <f t="shared" si="136"/>
        <v>#NUM!</v>
      </c>
      <c r="AK192" s="68" t="str">
        <f t="shared" si="137"/>
        <v>#NUM!</v>
      </c>
      <c r="AL192" s="300" t="s">
        <v>776</v>
      </c>
      <c r="AM192" s="305">
        <v>2011.0</v>
      </c>
      <c r="AN192" s="58"/>
      <c r="AO192" s="58">
        <f t="shared" si="132"/>
        <v>2017</v>
      </c>
      <c r="AP192" s="300"/>
      <c r="AQ192" s="300"/>
      <c r="AR192" s="102" t="s">
        <v>121</v>
      </c>
      <c r="AS192" s="300"/>
      <c r="AT192" s="300"/>
      <c r="AU192" s="300"/>
      <c r="AV192" s="300"/>
      <c r="AW192" s="300"/>
      <c r="AX192" s="300"/>
      <c r="AY192" s="300"/>
      <c r="AZ192" s="300"/>
      <c r="BA192" s="300"/>
      <c r="BB192" s="306">
        <v>44817.0</v>
      </c>
      <c r="BC192" s="306">
        <v>44817.0</v>
      </c>
      <c r="BD192" s="306">
        <v>44817.0</v>
      </c>
      <c r="BE192" s="306">
        <v>44817.0</v>
      </c>
      <c r="BF192" s="306">
        <v>44817.0</v>
      </c>
      <c r="BG192" s="307"/>
      <c r="BH192" s="300"/>
      <c r="BI192" s="300" t="s">
        <v>129</v>
      </c>
    </row>
    <row r="193" ht="15.75" customHeight="1">
      <c r="A193" s="297" t="s">
        <v>736</v>
      </c>
      <c r="B193" s="298" t="s">
        <v>63</v>
      </c>
      <c r="C193" s="299" t="s">
        <v>777</v>
      </c>
      <c r="D193" s="300" t="s">
        <v>295</v>
      </c>
      <c r="E193" s="300" t="s">
        <v>778</v>
      </c>
      <c r="F193" s="300" t="s">
        <v>779</v>
      </c>
      <c r="G193" s="300"/>
      <c r="H193" s="300">
        <v>410.0</v>
      </c>
      <c r="I193" s="300"/>
      <c r="J193" s="300" t="s">
        <v>68</v>
      </c>
      <c r="K193" s="300" t="s">
        <v>69</v>
      </c>
      <c r="L193" s="302"/>
      <c r="M193" s="303">
        <v>50.0</v>
      </c>
      <c r="N193" s="297"/>
      <c r="O193" s="297"/>
      <c r="P193" s="297"/>
      <c r="Q193" s="297"/>
      <c r="R193" s="297"/>
      <c r="S193" s="297"/>
      <c r="T193" s="297"/>
      <c r="U193" s="297"/>
      <c r="V193" s="297"/>
      <c r="W193" s="297"/>
      <c r="X193" s="304"/>
      <c r="Y193" s="262">
        <f t="shared" si="129"/>
        <v>0</v>
      </c>
      <c r="Z193" s="64" t="str">
        <f t="shared" si="130"/>
        <v>#DIV/0!</v>
      </c>
      <c r="AA193" s="297"/>
      <c r="AB193" s="297"/>
      <c r="AC193" s="297"/>
      <c r="AD193" s="297"/>
      <c r="AE193" s="297"/>
      <c r="AF193" s="86" t="str">
        <f t="shared" si="133"/>
        <v>#REF!</v>
      </c>
      <c r="AG193" s="68" t="str">
        <f t="shared" si="134"/>
        <v>#NUM!</v>
      </c>
      <c r="AH193" s="297"/>
      <c r="AI193" s="68">
        <f t="shared" si="135"/>
        <v>0</v>
      </c>
      <c r="AJ193" s="68" t="str">
        <f t="shared" si="136"/>
        <v>#NUM!</v>
      </c>
      <c r="AK193" s="68" t="str">
        <f t="shared" si="137"/>
        <v>#NUM!</v>
      </c>
      <c r="AL193" s="300" t="s">
        <v>490</v>
      </c>
      <c r="AM193" s="305">
        <v>1990.0</v>
      </c>
      <c r="AN193" s="58"/>
      <c r="AO193" s="58">
        <f t="shared" si="132"/>
        <v>1996</v>
      </c>
      <c r="AP193" s="300"/>
      <c r="AQ193" s="300"/>
      <c r="AR193" s="102" t="s">
        <v>121</v>
      </c>
      <c r="AS193" s="300"/>
      <c r="AT193" s="300"/>
      <c r="AU193" s="300"/>
      <c r="AV193" s="300"/>
      <c r="AW193" s="300"/>
      <c r="AX193" s="300"/>
      <c r="AY193" s="300"/>
      <c r="AZ193" s="300"/>
      <c r="BA193" s="300"/>
      <c r="BB193" s="306">
        <v>44817.0</v>
      </c>
      <c r="BC193" s="306">
        <v>44817.0</v>
      </c>
      <c r="BD193" s="306">
        <v>44817.0</v>
      </c>
      <c r="BE193" s="306">
        <v>44817.0</v>
      </c>
      <c r="BF193" s="306">
        <v>44817.0</v>
      </c>
      <c r="BG193" s="307"/>
      <c r="BH193" s="300"/>
      <c r="BI193" s="300" t="s">
        <v>129</v>
      </c>
    </row>
    <row r="194" ht="15.75" customHeight="1">
      <c r="A194" s="297" t="s">
        <v>736</v>
      </c>
      <c r="B194" s="298" t="s">
        <v>63</v>
      </c>
      <c r="C194" s="299" t="s">
        <v>780</v>
      </c>
      <c r="D194" s="300" t="s">
        <v>295</v>
      </c>
      <c r="E194" s="300" t="s">
        <v>781</v>
      </c>
      <c r="F194" s="300" t="s">
        <v>782</v>
      </c>
      <c r="G194" s="300"/>
      <c r="H194" s="300">
        <v>420.0</v>
      </c>
      <c r="I194" s="300"/>
      <c r="J194" s="300" t="s">
        <v>68</v>
      </c>
      <c r="K194" s="300" t="s">
        <v>69</v>
      </c>
      <c r="L194" s="302"/>
      <c r="M194" s="303">
        <v>50.0</v>
      </c>
      <c r="N194" s="297"/>
      <c r="O194" s="297"/>
      <c r="P194" s="297"/>
      <c r="Q194" s="297"/>
      <c r="R194" s="297"/>
      <c r="S194" s="297"/>
      <c r="T194" s="297"/>
      <c r="U194" s="297"/>
      <c r="V194" s="297"/>
      <c r="W194" s="297"/>
      <c r="X194" s="304"/>
      <c r="Y194" s="262">
        <f t="shared" si="129"/>
        <v>0</v>
      </c>
      <c r="Z194" s="64" t="str">
        <f t="shared" si="130"/>
        <v>#DIV/0!</v>
      </c>
      <c r="AA194" s="297"/>
      <c r="AB194" s="297"/>
      <c r="AC194" s="297"/>
      <c r="AD194" s="297"/>
      <c r="AE194" s="297"/>
      <c r="AF194" s="86" t="str">
        <f t="shared" si="133"/>
        <v>#REF!</v>
      </c>
      <c r="AG194" s="68" t="str">
        <f t="shared" si="134"/>
        <v>#NUM!</v>
      </c>
      <c r="AH194" s="297"/>
      <c r="AI194" s="68">
        <f t="shared" si="135"/>
        <v>0</v>
      </c>
      <c r="AJ194" s="68" t="str">
        <f t="shared" si="136"/>
        <v>#NUM!</v>
      </c>
      <c r="AK194" s="68" t="str">
        <f t="shared" si="137"/>
        <v>#NUM!</v>
      </c>
      <c r="AL194" s="300" t="s">
        <v>783</v>
      </c>
      <c r="AM194" s="305">
        <v>2014.0</v>
      </c>
      <c r="AN194" s="58"/>
      <c r="AO194" s="58">
        <f t="shared" si="132"/>
        <v>2020</v>
      </c>
      <c r="AP194" s="300"/>
      <c r="AQ194" s="300"/>
      <c r="AR194" s="102" t="s">
        <v>121</v>
      </c>
      <c r="AS194" s="300"/>
      <c r="AT194" s="300"/>
      <c r="AU194" s="300"/>
      <c r="AV194" s="300"/>
      <c r="AW194" s="300"/>
      <c r="AX194" s="300"/>
      <c r="AY194" s="300"/>
      <c r="AZ194" s="300"/>
      <c r="BA194" s="300"/>
      <c r="BB194" s="306">
        <v>44817.0</v>
      </c>
      <c r="BC194" s="306">
        <v>44817.0</v>
      </c>
      <c r="BD194" s="306">
        <v>44817.0</v>
      </c>
      <c r="BE194" s="306">
        <v>44817.0</v>
      </c>
      <c r="BF194" s="306">
        <v>44817.0</v>
      </c>
      <c r="BG194" s="307"/>
      <c r="BH194" s="300"/>
      <c r="BI194" s="300" t="s">
        <v>129</v>
      </c>
    </row>
    <row r="195" ht="15.75" customHeight="1">
      <c r="A195" s="297" t="s">
        <v>736</v>
      </c>
      <c r="B195" s="298" t="s">
        <v>63</v>
      </c>
      <c r="C195" s="299" t="s">
        <v>784</v>
      </c>
      <c r="D195" s="300" t="s">
        <v>295</v>
      </c>
      <c r="E195" s="300" t="s">
        <v>785</v>
      </c>
      <c r="F195" s="300" t="s">
        <v>786</v>
      </c>
      <c r="G195" s="300"/>
      <c r="H195" s="300">
        <v>450.0</v>
      </c>
      <c r="I195" s="300"/>
      <c r="J195" s="300" t="s">
        <v>68</v>
      </c>
      <c r="K195" s="300" t="s">
        <v>97</v>
      </c>
      <c r="L195" s="302"/>
      <c r="M195" s="303">
        <v>150.0</v>
      </c>
      <c r="N195" s="297"/>
      <c r="O195" s="297"/>
      <c r="P195" s="297"/>
      <c r="Q195" s="297"/>
      <c r="R195" s="297"/>
      <c r="S195" s="297"/>
      <c r="T195" s="297"/>
      <c r="U195" s="297"/>
      <c r="V195" s="297"/>
      <c r="W195" s="297"/>
      <c r="X195" s="304"/>
      <c r="Y195" s="262">
        <f t="shared" si="129"/>
        <v>0</v>
      </c>
      <c r="Z195" s="64" t="str">
        <f t="shared" si="130"/>
        <v>#DIV/0!</v>
      </c>
      <c r="AA195" s="297"/>
      <c r="AB195" s="297"/>
      <c r="AC195" s="297"/>
      <c r="AD195" s="297"/>
      <c r="AE195" s="297"/>
      <c r="AF195" s="86" t="str">
        <f t="shared" si="133"/>
        <v>#REF!</v>
      </c>
      <c r="AG195" s="68" t="str">
        <f t="shared" si="134"/>
        <v>#NUM!</v>
      </c>
      <c r="AH195" s="297"/>
      <c r="AI195" s="68">
        <f t="shared" si="135"/>
        <v>0</v>
      </c>
      <c r="AJ195" s="68" t="str">
        <f t="shared" si="136"/>
        <v>#NUM!</v>
      </c>
      <c r="AK195" s="68" t="str">
        <f t="shared" si="137"/>
        <v>#NUM!</v>
      </c>
      <c r="AL195" s="300" t="s">
        <v>787</v>
      </c>
      <c r="AM195" s="305">
        <v>2018.0</v>
      </c>
      <c r="AN195" s="58"/>
      <c r="AO195" s="58">
        <f t="shared" si="132"/>
        <v>2024</v>
      </c>
      <c r="AP195" s="300"/>
      <c r="AQ195" s="300"/>
      <c r="AR195" s="102" t="s">
        <v>121</v>
      </c>
      <c r="AS195" s="300"/>
      <c r="AT195" s="300"/>
      <c r="AU195" s="300"/>
      <c r="AV195" s="300"/>
      <c r="AW195" s="300"/>
      <c r="AX195" s="300"/>
      <c r="AY195" s="300"/>
      <c r="AZ195" s="300"/>
      <c r="BA195" s="300"/>
      <c r="BB195" s="306">
        <v>44817.0</v>
      </c>
      <c r="BC195" s="306">
        <v>44817.0</v>
      </c>
      <c r="BD195" s="306">
        <v>44817.0</v>
      </c>
      <c r="BE195" s="306">
        <v>44817.0</v>
      </c>
      <c r="BF195" s="306">
        <v>44817.0</v>
      </c>
      <c r="BG195" s="307"/>
      <c r="BH195" s="300"/>
      <c r="BI195" s="300" t="s">
        <v>129</v>
      </c>
    </row>
    <row r="196" ht="15.75" customHeight="1">
      <c r="A196" s="297" t="s">
        <v>736</v>
      </c>
      <c r="B196" s="298" t="s">
        <v>63</v>
      </c>
      <c r="C196" s="299" t="s">
        <v>788</v>
      </c>
      <c r="D196" s="300" t="s">
        <v>295</v>
      </c>
      <c r="E196" s="300" t="s">
        <v>789</v>
      </c>
      <c r="F196" s="300" t="s">
        <v>790</v>
      </c>
      <c r="G196" s="300"/>
      <c r="H196" s="300">
        <v>540.0</v>
      </c>
      <c r="I196" s="300"/>
      <c r="J196" s="300" t="s">
        <v>68</v>
      </c>
      <c r="K196" s="300" t="s">
        <v>97</v>
      </c>
      <c r="L196" s="302"/>
      <c r="M196" s="303">
        <v>150.0</v>
      </c>
      <c r="N196" s="297"/>
      <c r="O196" s="297"/>
      <c r="P196" s="297"/>
      <c r="Q196" s="297"/>
      <c r="R196" s="297"/>
      <c r="S196" s="297"/>
      <c r="T196" s="297"/>
      <c r="U196" s="297"/>
      <c r="V196" s="297"/>
      <c r="W196" s="297"/>
      <c r="X196" s="304"/>
      <c r="Y196" s="262">
        <f t="shared" si="129"/>
        <v>0</v>
      </c>
      <c r="Z196" s="64" t="str">
        <f t="shared" si="130"/>
        <v>#DIV/0!</v>
      </c>
      <c r="AA196" s="297"/>
      <c r="AB196" s="297"/>
      <c r="AC196" s="297"/>
      <c r="AD196" s="297"/>
      <c r="AE196" s="297"/>
      <c r="AF196" s="86" t="str">
        <f t="shared" si="133"/>
        <v>#REF!</v>
      </c>
      <c r="AG196" s="68" t="str">
        <f t="shared" si="134"/>
        <v>#NUM!</v>
      </c>
      <c r="AH196" s="297"/>
      <c r="AI196" s="68">
        <f t="shared" si="135"/>
        <v>0</v>
      </c>
      <c r="AJ196" s="68" t="str">
        <f t="shared" si="136"/>
        <v>#NUM!</v>
      </c>
      <c r="AK196" s="68" t="str">
        <f t="shared" si="137"/>
        <v>#NUM!</v>
      </c>
      <c r="AL196" s="300" t="s">
        <v>791</v>
      </c>
      <c r="AM196" s="305">
        <v>2018.0</v>
      </c>
      <c r="AN196" s="58"/>
      <c r="AO196" s="58">
        <f t="shared" si="132"/>
        <v>2024</v>
      </c>
      <c r="AP196" s="300"/>
      <c r="AQ196" s="300"/>
      <c r="AR196" s="102" t="s">
        <v>121</v>
      </c>
      <c r="AS196" s="300"/>
      <c r="AT196" s="300"/>
      <c r="AU196" s="300"/>
      <c r="AV196" s="300"/>
      <c r="AW196" s="300"/>
      <c r="AX196" s="300"/>
      <c r="AY196" s="300"/>
      <c r="AZ196" s="300"/>
      <c r="BA196" s="300"/>
      <c r="BB196" s="306">
        <v>44817.0</v>
      </c>
      <c r="BC196" s="306">
        <v>44817.0</v>
      </c>
      <c r="BD196" s="306">
        <v>44817.0</v>
      </c>
      <c r="BE196" s="306">
        <v>44817.0</v>
      </c>
      <c r="BF196" s="306">
        <v>44817.0</v>
      </c>
      <c r="BG196" s="307"/>
      <c r="BH196" s="300"/>
      <c r="BI196" s="300" t="s">
        <v>129</v>
      </c>
    </row>
    <row r="197" ht="15.75" customHeight="1">
      <c r="A197" s="297" t="s">
        <v>736</v>
      </c>
      <c r="B197" s="298" t="s">
        <v>63</v>
      </c>
      <c r="C197" s="299" t="s">
        <v>792</v>
      </c>
      <c r="D197" s="300" t="s">
        <v>701</v>
      </c>
      <c r="E197" s="300" t="s">
        <v>793</v>
      </c>
      <c r="F197" s="300" t="s">
        <v>794</v>
      </c>
      <c r="G197" s="300"/>
      <c r="H197" s="300">
        <v>450.0</v>
      </c>
      <c r="I197" s="300"/>
      <c r="J197" s="300" t="s">
        <v>68</v>
      </c>
      <c r="K197" s="300" t="s">
        <v>97</v>
      </c>
      <c r="L197" s="302"/>
      <c r="M197" s="303">
        <v>150.0</v>
      </c>
      <c r="N197" s="297"/>
      <c r="O197" s="297"/>
      <c r="P197" s="297"/>
      <c r="Q197" s="297"/>
      <c r="R197" s="297"/>
      <c r="S197" s="297"/>
      <c r="T197" s="297"/>
      <c r="U197" s="297"/>
      <c r="V197" s="297"/>
      <c r="W197" s="297"/>
      <c r="X197" s="304"/>
      <c r="Y197" s="262">
        <f t="shared" si="129"/>
        <v>0</v>
      </c>
      <c r="Z197" s="64" t="str">
        <f t="shared" si="130"/>
        <v>#DIV/0!</v>
      </c>
      <c r="AA197" s="297"/>
      <c r="AB197" s="297"/>
      <c r="AC197" s="297"/>
      <c r="AD197" s="297"/>
      <c r="AE197" s="297"/>
      <c r="AF197" s="86" t="str">
        <f t="shared" si="133"/>
        <v>#REF!</v>
      </c>
      <c r="AG197" s="68" t="str">
        <f t="shared" si="134"/>
        <v>#NUM!</v>
      </c>
      <c r="AH197" s="297"/>
      <c r="AI197" s="68">
        <f t="shared" si="135"/>
        <v>0</v>
      </c>
      <c r="AJ197" s="68" t="str">
        <f t="shared" si="136"/>
        <v>#NUM!</v>
      </c>
      <c r="AK197" s="68" t="str">
        <f t="shared" si="137"/>
        <v>#NUM!</v>
      </c>
      <c r="AL197" s="300" t="s">
        <v>795</v>
      </c>
      <c r="AM197" s="305">
        <v>2018.0</v>
      </c>
      <c r="AN197" s="58"/>
      <c r="AO197" s="58">
        <f t="shared" si="132"/>
        <v>2024</v>
      </c>
      <c r="AP197" s="300"/>
      <c r="AQ197" s="300"/>
      <c r="AR197" s="102" t="s">
        <v>121</v>
      </c>
      <c r="AS197" s="300"/>
      <c r="AT197" s="300"/>
      <c r="AU197" s="300"/>
      <c r="AV197" s="300"/>
      <c r="AW197" s="300"/>
      <c r="AX197" s="300"/>
      <c r="AY197" s="300"/>
      <c r="AZ197" s="300"/>
      <c r="BA197" s="300"/>
      <c r="BB197" s="306">
        <v>44817.0</v>
      </c>
      <c r="BC197" s="306">
        <v>44817.0</v>
      </c>
      <c r="BD197" s="306">
        <v>44817.0</v>
      </c>
      <c r="BE197" s="306">
        <v>44817.0</v>
      </c>
      <c r="BF197" s="306">
        <v>44817.0</v>
      </c>
      <c r="BG197" s="307"/>
      <c r="BH197" s="300"/>
      <c r="BI197" s="300" t="s">
        <v>129</v>
      </c>
    </row>
    <row r="198" ht="15.75" customHeight="1">
      <c r="A198" s="317" t="s">
        <v>736</v>
      </c>
      <c r="B198" s="298" t="s">
        <v>63</v>
      </c>
      <c r="C198" s="318" t="s">
        <v>796</v>
      </c>
      <c r="D198" s="311" t="s">
        <v>295</v>
      </c>
      <c r="E198" s="311" t="s">
        <v>797</v>
      </c>
      <c r="F198" s="300" t="s">
        <v>798</v>
      </c>
      <c r="G198" s="300"/>
      <c r="H198" s="311">
        <v>360.0</v>
      </c>
      <c r="I198" s="311"/>
      <c r="J198" s="300" t="s">
        <v>68</v>
      </c>
      <c r="K198" s="300" t="s">
        <v>69</v>
      </c>
      <c r="L198" s="302"/>
      <c r="M198" s="303">
        <v>50.0</v>
      </c>
      <c r="N198" s="297"/>
      <c r="O198" s="297"/>
      <c r="P198" s="297"/>
      <c r="Q198" s="297"/>
      <c r="R198" s="297"/>
      <c r="S198" s="297"/>
      <c r="T198" s="297"/>
      <c r="U198" s="297"/>
      <c r="V198" s="297"/>
      <c r="W198" s="297"/>
      <c r="X198" s="304"/>
      <c r="Y198" s="262">
        <f t="shared" si="129"/>
        <v>0</v>
      </c>
      <c r="Z198" s="64" t="str">
        <f t="shared" si="130"/>
        <v>#DIV/0!</v>
      </c>
      <c r="AA198" s="297"/>
      <c r="AB198" s="297"/>
      <c r="AC198" s="297"/>
      <c r="AD198" s="297"/>
      <c r="AE198" s="297"/>
      <c r="AF198" s="86" t="str">
        <f t="shared" si="133"/>
        <v>#REF!</v>
      </c>
      <c r="AG198" s="68" t="str">
        <f t="shared" si="134"/>
        <v>#NUM!</v>
      </c>
      <c r="AH198" s="297"/>
      <c r="AI198" s="68">
        <f t="shared" si="135"/>
        <v>0</v>
      </c>
      <c r="AJ198" s="68" t="str">
        <f t="shared" si="136"/>
        <v>#NUM!</v>
      </c>
      <c r="AK198" s="68" t="str">
        <f t="shared" si="137"/>
        <v>#NUM!</v>
      </c>
      <c r="AL198" s="300" t="s">
        <v>799</v>
      </c>
      <c r="AM198" s="305">
        <v>2017.0</v>
      </c>
      <c r="AN198" s="58"/>
      <c r="AO198" s="58">
        <f t="shared" si="132"/>
        <v>2023</v>
      </c>
      <c r="AP198" s="300"/>
      <c r="AQ198" s="300"/>
      <c r="AR198" s="102" t="s">
        <v>121</v>
      </c>
      <c r="AS198" s="300"/>
      <c r="AT198" s="300"/>
      <c r="AU198" s="300"/>
      <c r="AV198" s="300"/>
      <c r="AW198" s="300"/>
      <c r="AX198" s="300"/>
      <c r="AY198" s="300"/>
      <c r="AZ198" s="300"/>
      <c r="BA198" s="300"/>
      <c r="BB198" s="306">
        <v>44817.0</v>
      </c>
      <c r="BC198" s="306">
        <v>44817.0</v>
      </c>
      <c r="BD198" s="306">
        <v>44817.0</v>
      </c>
      <c r="BE198" s="306">
        <v>44817.0</v>
      </c>
      <c r="BF198" s="306">
        <v>44817.0</v>
      </c>
      <c r="BG198" s="307"/>
      <c r="BH198" s="300"/>
      <c r="BI198" s="300" t="s">
        <v>129</v>
      </c>
    </row>
    <row r="199" ht="15.75" customHeight="1">
      <c r="A199" s="317" t="s">
        <v>736</v>
      </c>
      <c r="B199" s="298" t="s">
        <v>63</v>
      </c>
      <c r="C199" s="318" t="s">
        <v>800</v>
      </c>
      <c r="D199" s="311" t="s">
        <v>634</v>
      </c>
      <c r="E199" s="311" t="s">
        <v>801</v>
      </c>
      <c r="F199" s="300" t="s">
        <v>802</v>
      </c>
      <c r="G199" s="300"/>
      <c r="H199" s="311">
        <v>405.0</v>
      </c>
      <c r="I199" s="311"/>
      <c r="J199" s="300" t="s">
        <v>68</v>
      </c>
      <c r="K199" s="300" t="s">
        <v>97</v>
      </c>
      <c r="L199" s="302"/>
      <c r="M199" s="303">
        <v>150.0</v>
      </c>
      <c r="N199" s="297"/>
      <c r="O199" s="297"/>
      <c r="P199" s="297"/>
      <c r="Q199" s="297"/>
      <c r="R199" s="297"/>
      <c r="S199" s="297"/>
      <c r="T199" s="297"/>
      <c r="U199" s="297"/>
      <c r="V199" s="297"/>
      <c r="W199" s="297"/>
      <c r="X199" s="304"/>
      <c r="Y199" s="262">
        <f t="shared" si="129"/>
        <v>0</v>
      </c>
      <c r="Z199" s="64" t="str">
        <f t="shared" si="130"/>
        <v>#DIV/0!</v>
      </c>
      <c r="AA199" s="297"/>
      <c r="AB199" s="297"/>
      <c r="AC199" s="297"/>
      <c r="AD199" s="297"/>
      <c r="AE199" s="297"/>
      <c r="AF199" s="86" t="str">
        <f t="shared" si="133"/>
        <v>#REF!</v>
      </c>
      <c r="AG199" s="68" t="str">
        <f t="shared" si="134"/>
        <v>#NUM!</v>
      </c>
      <c r="AH199" s="297"/>
      <c r="AI199" s="68">
        <f t="shared" si="135"/>
        <v>0</v>
      </c>
      <c r="AJ199" s="68" t="str">
        <f t="shared" si="136"/>
        <v>#NUM!</v>
      </c>
      <c r="AK199" s="68" t="str">
        <f t="shared" si="137"/>
        <v>#NUM!</v>
      </c>
      <c r="AL199" s="300" t="s">
        <v>803</v>
      </c>
      <c r="AM199" s="305">
        <v>2019.0</v>
      </c>
      <c r="AN199" s="58"/>
      <c r="AO199" s="58">
        <f t="shared" si="132"/>
        <v>2025</v>
      </c>
      <c r="AP199" s="300"/>
      <c r="AQ199" s="300"/>
      <c r="AR199" s="102" t="s">
        <v>102</v>
      </c>
      <c r="AS199" s="300"/>
      <c r="AT199" s="300"/>
      <c r="AU199" s="300"/>
      <c r="AV199" s="300"/>
      <c r="AW199" s="300"/>
      <c r="AX199" s="300"/>
      <c r="AY199" s="300"/>
      <c r="AZ199" s="300"/>
      <c r="BA199" s="300"/>
      <c r="BB199" s="306">
        <v>44817.0</v>
      </c>
      <c r="BC199" s="306">
        <v>44817.0</v>
      </c>
      <c r="BD199" s="306">
        <v>44817.0</v>
      </c>
      <c r="BE199" s="306">
        <v>44817.0</v>
      </c>
      <c r="BF199" s="306">
        <v>44817.0</v>
      </c>
      <c r="BG199" s="307"/>
      <c r="BH199" s="300"/>
      <c r="BI199" s="300" t="s">
        <v>129</v>
      </c>
    </row>
    <row r="200" ht="15.75" customHeight="1">
      <c r="A200" s="317" t="s">
        <v>736</v>
      </c>
      <c r="B200" s="298" t="s">
        <v>63</v>
      </c>
      <c r="C200" s="318" t="s">
        <v>804</v>
      </c>
      <c r="D200" s="311" t="s">
        <v>295</v>
      </c>
      <c r="E200" s="311" t="s">
        <v>805</v>
      </c>
      <c r="F200" s="300" t="s">
        <v>806</v>
      </c>
      <c r="G200" s="300"/>
      <c r="H200" s="311">
        <v>450.0</v>
      </c>
      <c r="I200" s="311"/>
      <c r="J200" s="300" t="s">
        <v>68</v>
      </c>
      <c r="K200" s="300" t="s">
        <v>97</v>
      </c>
      <c r="L200" s="302"/>
      <c r="M200" s="303">
        <v>150.0</v>
      </c>
      <c r="N200" s="297"/>
      <c r="O200" s="297"/>
      <c r="P200" s="297"/>
      <c r="Q200" s="297"/>
      <c r="R200" s="297"/>
      <c r="S200" s="297"/>
      <c r="T200" s="297"/>
      <c r="U200" s="297"/>
      <c r="V200" s="297"/>
      <c r="W200" s="297"/>
      <c r="X200" s="304"/>
      <c r="Y200" s="262">
        <f t="shared" si="129"/>
        <v>0</v>
      </c>
      <c r="Z200" s="64" t="str">
        <f t="shared" si="130"/>
        <v>#DIV/0!</v>
      </c>
      <c r="AA200" s="297"/>
      <c r="AB200" s="297"/>
      <c r="AC200" s="297"/>
      <c r="AD200" s="297"/>
      <c r="AE200" s="297"/>
      <c r="AF200" s="86" t="str">
        <f t="shared" si="133"/>
        <v>#REF!</v>
      </c>
      <c r="AG200" s="68" t="str">
        <f t="shared" si="134"/>
        <v>#NUM!</v>
      </c>
      <c r="AH200" s="297"/>
      <c r="AI200" s="68">
        <f t="shared" si="135"/>
        <v>0</v>
      </c>
      <c r="AJ200" s="68" t="str">
        <f t="shared" si="136"/>
        <v>#NUM!</v>
      </c>
      <c r="AK200" s="68" t="str">
        <f t="shared" si="137"/>
        <v>#NUM!</v>
      </c>
      <c r="AL200" s="300" t="s">
        <v>807</v>
      </c>
      <c r="AM200" s="305">
        <v>2018.0</v>
      </c>
      <c r="AN200" s="58"/>
      <c r="AO200" s="58">
        <f t="shared" si="132"/>
        <v>2024</v>
      </c>
      <c r="AP200" s="300"/>
      <c r="AQ200" s="300"/>
      <c r="AR200" s="102" t="s">
        <v>121</v>
      </c>
      <c r="AS200" s="300"/>
      <c r="AT200" s="300"/>
      <c r="AU200" s="300"/>
      <c r="AV200" s="300"/>
      <c r="AW200" s="300"/>
      <c r="AX200" s="300"/>
      <c r="AY200" s="300"/>
      <c r="AZ200" s="300"/>
      <c r="BA200" s="300"/>
      <c r="BB200" s="306">
        <v>44817.0</v>
      </c>
      <c r="BC200" s="306">
        <v>44817.0</v>
      </c>
      <c r="BD200" s="306">
        <v>44817.0</v>
      </c>
      <c r="BE200" s="306">
        <v>44817.0</v>
      </c>
      <c r="BF200" s="306">
        <v>44817.0</v>
      </c>
      <c r="BG200" s="307"/>
      <c r="BH200" s="300"/>
      <c r="BI200" s="300" t="s">
        <v>129</v>
      </c>
    </row>
    <row r="201" ht="15.75" customHeight="1">
      <c r="A201" s="317" t="s">
        <v>736</v>
      </c>
      <c r="B201" s="298" t="s">
        <v>63</v>
      </c>
      <c r="C201" s="318" t="s">
        <v>808</v>
      </c>
      <c r="D201" s="311" t="s">
        <v>65</v>
      </c>
      <c r="E201" s="311" t="s">
        <v>751</v>
      </c>
      <c r="F201" s="312" t="s">
        <v>752</v>
      </c>
      <c r="G201" s="300"/>
      <c r="H201" s="319">
        <v>5760.0</v>
      </c>
      <c r="I201" s="311"/>
      <c r="J201" s="300" t="s">
        <v>429</v>
      </c>
      <c r="K201" s="300" t="s">
        <v>69</v>
      </c>
      <c r="L201" s="302"/>
      <c r="M201" s="303"/>
      <c r="N201" s="297"/>
      <c r="O201" s="297"/>
      <c r="P201" s="297"/>
      <c r="Q201" s="297"/>
      <c r="R201" s="297"/>
      <c r="S201" s="297"/>
      <c r="T201" s="297"/>
      <c r="U201" s="297"/>
      <c r="V201" s="297"/>
      <c r="W201" s="297"/>
      <c r="X201" s="304"/>
      <c r="Y201" s="262">
        <f t="shared" si="129"/>
        <v>0</v>
      </c>
      <c r="Z201" s="64"/>
      <c r="AA201" s="297"/>
      <c r="AB201" s="297"/>
      <c r="AC201" s="297"/>
      <c r="AD201" s="297"/>
      <c r="AE201" s="297"/>
      <c r="AF201" s="86" t="str">
        <f t="shared" si="133"/>
        <v>#REF!</v>
      </c>
      <c r="AG201" s="68" t="str">
        <f t="shared" si="134"/>
        <v>#NUM!</v>
      </c>
      <c r="AH201" s="297"/>
      <c r="AI201" s="68">
        <f t="shared" si="135"/>
        <v>0</v>
      </c>
      <c r="AJ201" s="68" t="str">
        <f t="shared" si="136"/>
        <v>#NUM!</v>
      </c>
      <c r="AK201" s="68" t="str">
        <f t="shared" si="137"/>
        <v>#NUM!</v>
      </c>
      <c r="AL201" s="300"/>
      <c r="AM201" s="305"/>
      <c r="AN201" s="58"/>
      <c r="AO201" s="58"/>
      <c r="AP201" s="300" t="s">
        <v>88</v>
      </c>
      <c r="AQ201" s="316" t="s">
        <v>63</v>
      </c>
      <c r="AR201" s="89" t="s">
        <v>102</v>
      </c>
      <c r="AS201" s="300"/>
      <c r="AT201" s="300"/>
      <c r="AU201" s="300"/>
      <c r="AV201" s="300"/>
      <c r="AW201" s="300"/>
      <c r="AX201" s="300"/>
      <c r="AY201" s="300"/>
      <c r="AZ201" s="300"/>
      <c r="BA201" s="300"/>
      <c r="BB201" s="306">
        <v>44817.0</v>
      </c>
      <c r="BC201" s="306">
        <v>44817.0</v>
      </c>
      <c r="BD201" s="306">
        <v>44817.0</v>
      </c>
      <c r="BE201" s="306">
        <v>44817.0</v>
      </c>
      <c r="BF201" s="306">
        <v>44817.0</v>
      </c>
      <c r="BG201" s="307"/>
      <c r="BH201" s="300"/>
      <c r="BI201" s="300"/>
    </row>
    <row r="202" ht="15.75" customHeight="1">
      <c r="A202" s="317" t="s">
        <v>736</v>
      </c>
      <c r="B202" s="298" t="s">
        <v>63</v>
      </c>
      <c r="C202" s="318" t="s">
        <v>809</v>
      </c>
      <c r="D202" s="311" t="s">
        <v>295</v>
      </c>
      <c r="E202" s="311" t="s">
        <v>810</v>
      </c>
      <c r="F202" s="300" t="s">
        <v>811</v>
      </c>
      <c r="G202" s="300"/>
      <c r="H202" s="311">
        <v>495.0</v>
      </c>
      <c r="I202" s="311"/>
      <c r="J202" s="300" t="s">
        <v>68</v>
      </c>
      <c r="K202" s="300" t="s">
        <v>97</v>
      </c>
      <c r="L202" s="302"/>
      <c r="M202" s="303">
        <v>50.0</v>
      </c>
      <c r="N202" s="297"/>
      <c r="O202" s="297"/>
      <c r="P202" s="297"/>
      <c r="Q202" s="297"/>
      <c r="R202" s="297"/>
      <c r="S202" s="297"/>
      <c r="T202" s="297"/>
      <c r="U202" s="297"/>
      <c r="V202" s="297"/>
      <c r="W202" s="297"/>
      <c r="X202" s="304"/>
      <c r="Y202" s="262">
        <f t="shared" si="129"/>
        <v>0</v>
      </c>
      <c r="Z202" s="64" t="str">
        <f>S202/Y202</f>
        <v>#DIV/0!</v>
      </c>
      <c r="AA202" s="297"/>
      <c r="AB202" s="297"/>
      <c r="AC202" s="297"/>
      <c r="AD202" s="297"/>
      <c r="AE202" s="297"/>
      <c r="AF202" s="86" t="str">
        <f t="shared" si="133"/>
        <v>#REF!</v>
      </c>
      <c r="AG202" s="68" t="str">
        <f t="shared" si="134"/>
        <v>#NUM!</v>
      </c>
      <c r="AH202" s="297"/>
      <c r="AI202" s="68">
        <f t="shared" si="135"/>
        <v>0</v>
      </c>
      <c r="AJ202" s="68" t="str">
        <f t="shared" si="136"/>
        <v>#NUM!</v>
      </c>
      <c r="AK202" s="68" t="str">
        <f t="shared" si="137"/>
        <v>#NUM!</v>
      </c>
      <c r="AL202" s="300" t="s">
        <v>812</v>
      </c>
      <c r="AM202" s="305">
        <v>2016.0</v>
      </c>
      <c r="AN202" s="58"/>
      <c r="AO202" s="58">
        <f>AM202+6</f>
        <v>2022</v>
      </c>
      <c r="AP202" s="102" t="s">
        <v>156</v>
      </c>
      <c r="AQ202" s="300"/>
      <c r="AR202" s="102" t="s">
        <v>102</v>
      </c>
      <c r="AS202" s="300"/>
      <c r="AT202" s="300"/>
      <c r="AU202" s="300"/>
      <c r="AV202" s="300"/>
      <c r="AW202" s="300"/>
      <c r="AX202" s="300"/>
      <c r="AY202" s="300"/>
      <c r="AZ202" s="300"/>
      <c r="BA202" s="300"/>
      <c r="BB202" s="306">
        <v>44817.0</v>
      </c>
      <c r="BC202" s="306">
        <v>44817.0</v>
      </c>
      <c r="BD202" s="306">
        <v>44817.0</v>
      </c>
      <c r="BE202" s="306">
        <v>44817.0</v>
      </c>
      <c r="BF202" s="306">
        <v>44817.0</v>
      </c>
      <c r="BG202" s="307"/>
      <c r="BH202" s="300"/>
      <c r="BI202" s="300" t="s">
        <v>129</v>
      </c>
    </row>
    <row r="203" ht="15.75" customHeight="1">
      <c r="A203" s="317" t="s">
        <v>736</v>
      </c>
      <c r="B203" s="298" t="s">
        <v>63</v>
      </c>
      <c r="C203" s="318" t="s">
        <v>813</v>
      </c>
      <c r="D203" s="311" t="s">
        <v>65</v>
      </c>
      <c r="E203" s="311" t="s">
        <v>814</v>
      </c>
      <c r="F203" s="305" t="s">
        <v>815</v>
      </c>
      <c r="G203" s="300"/>
      <c r="H203" s="319">
        <v>5760.0</v>
      </c>
      <c r="I203" s="311"/>
      <c r="J203" s="300" t="s">
        <v>429</v>
      </c>
      <c r="K203" s="300" t="s">
        <v>69</v>
      </c>
      <c r="L203" s="302"/>
      <c r="M203" s="303"/>
      <c r="N203" s="297"/>
      <c r="O203" s="297"/>
      <c r="P203" s="297"/>
      <c r="Q203" s="297"/>
      <c r="R203" s="297"/>
      <c r="S203" s="297"/>
      <c r="T203" s="297"/>
      <c r="U203" s="297"/>
      <c r="V203" s="297"/>
      <c r="W203" s="297"/>
      <c r="X203" s="304"/>
      <c r="Y203" s="262">
        <f t="shared" si="129"/>
        <v>0</v>
      </c>
      <c r="Z203" s="64"/>
      <c r="AA203" s="297"/>
      <c r="AB203" s="297"/>
      <c r="AC203" s="297"/>
      <c r="AD203" s="297"/>
      <c r="AE203" s="297"/>
      <c r="AF203" s="86" t="str">
        <f t="shared" si="133"/>
        <v>#REF!</v>
      </c>
      <c r="AG203" s="68" t="str">
        <f t="shared" si="134"/>
        <v>#NUM!</v>
      </c>
      <c r="AH203" s="297"/>
      <c r="AI203" s="68">
        <f t="shared" si="135"/>
        <v>0</v>
      </c>
      <c r="AJ203" s="68" t="str">
        <f t="shared" si="136"/>
        <v>#NUM!</v>
      </c>
      <c r="AK203" s="68" t="str">
        <f t="shared" si="137"/>
        <v>#NUM!</v>
      </c>
      <c r="AL203" s="300"/>
      <c r="AM203" s="305"/>
      <c r="AN203" s="58"/>
      <c r="AO203" s="58"/>
      <c r="AP203" s="300" t="s">
        <v>88</v>
      </c>
      <c r="AQ203" s="316" t="s">
        <v>63</v>
      </c>
      <c r="AR203" s="89" t="s">
        <v>102</v>
      </c>
      <c r="AS203" s="300"/>
      <c r="AT203" s="300"/>
      <c r="AU203" s="300"/>
      <c r="AV203" s="300"/>
      <c r="AW203" s="300"/>
      <c r="AX203" s="300"/>
      <c r="AY203" s="300"/>
      <c r="AZ203" s="300"/>
      <c r="BA203" s="300"/>
      <c r="BB203" s="306">
        <v>44817.0</v>
      </c>
      <c r="BC203" s="306">
        <v>44817.0</v>
      </c>
      <c r="BD203" s="306">
        <v>44817.0</v>
      </c>
      <c r="BE203" s="306">
        <v>44817.0</v>
      </c>
      <c r="BF203" s="306">
        <v>44817.0</v>
      </c>
      <c r="BG203" s="307"/>
      <c r="BH203" s="300"/>
      <c r="BI203" s="300"/>
    </row>
    <row r="204" ht="15.75" customHeight="1">
      <c r="A204" s="317" t="s">
        <v>736</v>
      </c>
      <c r="B204" s="320"/>
      <c r="C204" s="318" t="s">
        <v>816</v>
      </c>
      <c r="D204" s="311" t="s">
        <v>65</v>
      </c>
      <c r="E204" s="311"/>
      <c r="F204" s="300"/>
      <c r="G204" s="300"/>
      <c r="H204" s="311"/>
      <c r="I204" s="311"/>
      <c r="J204" s="300"/>
      <c r="K204" s="300"/>
      <c r="L204" s="302"/>
      <c r="M204" s="303"/>
      <c r="N204" s="297"/>
      <c r="O204" s="297"/>
      <c r="P204" s="297"/>
      <c r="Q204" s="297"/>
      <c r="R204" s="297"/>
      <c r="S204" s="297"/>
      <c r="T204" s="297"/>
      <c r="U204" s="297"/>
      <c r="V204" s="297"/>
      <c r="W204" s="297"/>
      <c r="X204" s="304"/>
      <c r="Y204" s="262"/>
      <c r="Z204" s="64"/>
      <c r="AA204" s="297"/>
      <c r="AB204" s="297"/>
      <c r="AC204" s="297"/>
      <c r="AD204" s="297"/>
      <c r="AE204" s="297"/>
      <c r="AF204" s="86"/>
      <c r="AG204" s="68"/>
      <c r="AH204" s="297"/>
      <c r="AI204" s="68"/>
      <c r="AJ204" s="68"/>
      <c r="AK204" s="68"/>
      <c r="AL204" s="316" t="s">
        <v>817</v>
      </c>
      <c r="AM204" s="305">
        <v>2023.0</v>
      </c>
      <c r="AN204" s="58"/>
      <c r="AO204" s="58"/>
      <c r="AP204" s="300"/>
      <c r="AQ204" s="300"/>
      <c r="AR204" s="102"/>
      <c r="AS204" s="300"/>
      <c r="AT204" s="300"/>
      <c r="AU204" s="300"/>
      <c r="AV204" s="300"/>
      <c r="AW204" s="300"/>
      <c r="AX204" s="300"/>
      <c r="AY204" s="300"/>
      <c r="AZ204" s="300"/>
      <c r="BA204" s="300"/>
      <c r="BB204" s="306"/>
      <c r="BC204" s="306"/>
      <c r="BD204" s="306"/>
      <c r="BE204" s="306"/>
      <c r="BF204" s="306"/>
      <c r="BG204" s="300"/>
      <c r="BH204" s="300"/>
      <c r="BI204" s="300"/>
    </row>
    <row r="205" ht="15.75" customHeight="1">
      <c r="A205" s="317" t="s">
        <v>736</v>
      </c>
      <c r="B205" s="298" t="s">
        <v>63</v>
      </c>
      <c r="C205" s="318" t="s">
        <v>818</v>
      </c>
      <c r="D205" s="311" t="s">
        <v>819</v>
      </c>
      <c r="E205" s="311" t="s">
        <v>820</v>
      </c>
      <c r="F205" s="300" t="s">
        <v>821</v>
      </c>
      <c r="G205" s="300"/>
      <c r="H205" s="311">
        <v>360.0</v>
      </c>
      <c r="I205" s="311"/>
      <c r="J205" s="300" t="s">
        <v>68</v>
      </c>
      <c r="K205" s="300" t="s">
        <v>69</v>
      </c>
      <c r="L205" s="302"/>
      <c r="M205" s="303">
        <v>50.0</v>
      </c>
      <c r="N205" s="297"/>
      <c r="O205" s="297"/>
      <c r="P205" s="297"/>
      <c r="Q205" s="297"/>
      <c r="R205" s="297"/>
      <c r="S205" s="297"/>
      <c r="T205" s="297"/>
      <c r="U205" s="297"/>
      <c r="V205" s="297"/>
      <c r="W205" s="297"/>
      <c r="X205" s="304"/>
      <c r="Y205" s="262">
        <f>SUM(S205:T205)</f>
        <v>0</v>
      </c>
      <c r="Z205" s="64" t="str">
        <f>S205/Y205</f>
        <v>#DIV/0!</v>
      </c>
      <c r="AA205" s="297"/>
      <c r="AB205" s="297"/>
      <c r="AC205" s="297"/>
      <c r="AD205" s="297"/>
      <c r="AE205" s="297"/>
      <c r="AF205" s="86" t="str">
        <f>DATEDIF(#REF!,#REF!,"M")+1</f>
        <v>#REF!</v>
      </c>
      <c r="AG205" s="68" t="str">
        <f>LARGE(AS205:BA205,1)*((AA205*AB205)+(AC205*AD205)+(AE205*AF205))</f>
        <v>#NUM!</v>
      </c>
      <c r="AH205" s="297"/>
      <c r="AI205" s="68">
        <f>AA205*0.2</f>
        <v>0</v>
      </c>
      <c r="AJ205" s="68" t="str">
        <f>AG205*0.025</f>
        <v>#NUM!</v>
      </c>
      <c r="AK205" s="68" t="str">
        <f>0.03*AG205</f>
        <v>#NUM!</v>
      </c>
      <c r="AL205" s="300"/>
      <c r="AM205" s="305"/>
      <c r="AN205" s="58"/>
      <c r="AO205" s="58">
        <f>AM205+6</f>
        <v>6</v>
      </c>
      <c r="AP205" s="300"/>
      <c r="AQ205" s="300"/>
      <c r="AR205" s="102" t="s">
        <v>121</v>
      </c>
      <c r="AS205" s="300"/>
      <c r="AT205" s="300"/>
      <c r="AU205" s="300"/>
      <c r="AV205" s="300"/>
      <c r="AW205" s="300"/>
      <c r="AX205" s="300"/>
      <c r="AY205" s="300"/>
      <c r="AZ205" s="300"/>
      <c r="BA205" s="300"/>
      <c r="BB205" s="306">
        <v>44817.0</v>
      </c>
      <c r="BC205" s="306">
        <v>44817.0</v>
      </c>
      <c r="BD205" s="306">
        <v>44817.0</v>
      </c>
      <c r="BE205" s="306">
        <v>44817.0</v>
      </c>
      <c r="BF205" s="306">
        <v>44817.0</v>
      </c>
      <c r="BG205" s="300" t="s">
        <v>822</v>
      </c>
      <c r="BH205" s="300"/>
      <c r="BI205" s="300" t="s">
        <v>129</v>
      </c>
    </row>
    <row r="206" ht="15.75" customHeight="1">
      <c r="A206" s="317" t="s">
        <v>736</v>
      </c>
      <c r="B206" s="308" t="s">
        <v>63</v>
      </c>
      <c r="C206" s="318" t="s">
        <v>823</v>
      </c>
      <c r="D206" s="311" t="s">
        <v>65</v>
      </c>
      <c r="E206" s="311" t="s">
        <v>824</v>
      </c>
      <c r="F206" s="311"/>
      <c r="G206" s="311"/>
      <c r="H206" s="311">
        <v>5760.0</v>
      </c>
      <c r="I206" s="311" t="s">
        <v>74</v>
      </c>
      <c r="J206" s="300" t="s">
        <v>429</v>
      </c>
      <c r="K206" s="300" t="s">
        <v>69</v>
      </c>
      <c r="L206" s="302"/>
      <c r="M206" s="303"/>
      <c r="N206" s="297"/>
      <c r="O206" s="297"/>
      <c r="P206" s="297"/>
      <c r="Q206" s="297"/>
      <c r="R206" s="297"/>
      <c r="S206" s="297"/>
      <c r="T206" s="297"/>
      <c r="U206" s="297"/>
      <c r="V206" s="297"/>
      <c r="W206" s="297"/>
      <c r="X206" s="304"/>
      <c r="Y206" s="321"/>
      <c r="Z206" s="64"/>
      <c r="AA206" s="297"/>
      <c r="AB206" s="297"/>
      <c r="AC206" s="297"/>
      <c r="AD206" s="297"/>
      <c r="AE206" s="297"/>
      <c r="AF206" s="86"/>
      <c r="AG206" s="68"/>
      <c r="AH206" s="297"/>
      <c r="AI206" s="68"/>
      <c r="AJ206" s="68"/>
      <c r="AK206" s="68"/>
      <c r="AL206" s="300"/>
      <c r="AM206" s="305"/>
      <c r="AN206" s="58"/>
      <c r="AO206" s="58"/>
      <c r="AP206" s="300"/>
      <c r="AQ206" s="300"/>
      <c r="AR206" s="102"/>
      <c r="AS206" s="300"/>
      <c r="AT206" s="300"/>
      <c r="AU206" s="300"/>
      <c r="AV206" s="300"/>
      <c r="AW206" s="300"/>
      <c r="AX206" s="300"/>
      <c r="AY206" s="300"/>
      <c r="AZ206" s="300"/>
      <c r="BA206" s="300"/>
      <c r="BB206" s="306"/>
      <c r="BC206" s="306"/>
      <c r="BD206" s="306"/>
      <c r="BE206" s="306"/>
      <c r="BF206" s="306"/>
      <c r="BG206" s="300"/>
      <c r="BH206" s="300"/>
      <c r="BI206" s="300"/>
    </row>
    <row r="207" ht="15.75" customHeight="1">
      <c r="A207" s="322" t="s">
        <v>825</v>
      </c>
      <c r="B207" s="323" t="s">
        <v>63</v>
      </c>
      <c r="C207" s="324" t="s">
        <v>826</v>
      </c>
      <c r="D207" s="325" t="s">
        <v>827</v>
      </c>
      <c r="E207" s="325" t="s">
        <v>828</v>
      </c>
      <c r="F207" s="326"/>
      <c r="G207" s="326"/>
      <c r="H207" s="325">
        <v>360.0</v>
      </c>
      <c r="I207" s="325"/>
      <c r="J207" s="327" t="s">
        <v>68</v>
      </c>
      <c r="K207" s="327" t="s">
        <v>69</v>
      </c>
      <c r="L207" s="328"/>
      <c r="M207" s="329"/>
      <c r="N207" s="330"/>
      <c r="O207" s="330"/>
      <c r="P207" s="330"/>
      <c r="Q207" s="330"/>
      <c r="R207" s="330"/>
      <c r="S207" s="330"/>
      <c r="T207" s="330"/>
      <c r="U207" s="330"/>
      <c r="V207" s="330"/>
      <c r="W207" s="330"/>
      <c r="X207" s="326"/>
      <c r="Y207" s="326">
        <f t="shared" ref="Y207:Y219" si="138">SUM(S207:T207)</f>
        <v>0</v>
      </c>
      <c r="Z207" s="331" t="str">
        <f t="shared" ref="Z207:Z219" si="139">S207/Y207</f>
        <v>#DIV/0!</v>
      </c>
      <c r="AA207" s="330"/>
      <c r="AB207" s="330"/>
      <c r="AC207" s="330"/>
      <c r="AD207" s="330"/>
      <c r="AE207" s="330"/>
      <c r="AF207" s="332" t="str">
        <f>DATEDIF(#REF!,#REF!,"M")+1</f>
        <v>#REF!</v>
      </c>
      <c r="AG207" s="333" t="str">
        <f>LARGE(AS207:BA207,1)*((AA207*AB207)+(AC207*AD207)+(AE207*AF207))</f>
        <v>#NUM!</v>
      </c>
      <c r="AH207" s="330"/>
      <c r="AI207" s="333">
        <f>AA207*0.2</f>
        <v>0</v>
      </c>
      <c r="AJ207" s="333" t="str">
        <f t="shared" ref="AJ207:AJ214" si="140">AG207*0.025</f>
        <v>#NUM!</v>
      </c>
      <c r="AK207" s="333" t="str">
        <f>0.03*AG207</f>
        <v>#NUM!</v>
      </c>
      <c r="AL207" s="327"/>
      <c r="AM207" s="334"/>
      <c r="AN207" s="335"/>
      <c r="AO207" s="335">
        <f>AM207+6</f>
        <v>6</v>
      </c>
      <c r="AP207" s="336" t="s">
        <v>156</v>
      </c>
      <c r="AQ207" s="327"/>
      <c r="AR207" s="336" t="s">
        <v>121</v>
      </c>
      <c r="AS207" s="327"/>
      <c r="AT207" s="327"/>
      <c r="AU207" s="327"/>
      <c r="AV207" s="327"/>
      <c r="AW207" s="337"/>
      <c r="AX207" s="337"/>
      <c r="AY207" s="337"/>
      <c r="AZ207" s="337"/>
      <c r="BA207" s="337"/>
      <c r="BB207" s="338">
        <v>44817.0</v>
      </c>
      <c r="BC207" s="338">
        <v>44817.0</v>
      </c>
      <c r="BD207" s="338">
        <v>44817.0</v>
      </c>
      <c r="BE207" s="338">
        <v>44817.0</v>
      </c>
      <c r="BF207" s="338">
        <v>44817.0</v>
      </c>
      <c r="BG207" s="339"/>
      <c r="BH207" s="337"/>
      <c r="BI207" s="337" t="s">
        <v>129</v>
      </c>
    </row>
    <row r="208" ht="15.75" customHeight="1">
      <c r="A208" s="322" t="s">
        <v>825</v>
      </c>
      <c r="B208" s="340" t="s">
        <v>63</v>
      </c>
      <c r="C208" s="324" t="s">
        <v>829</v>
      </c>
      <c r="D208" s="325" t="s">
        <v>827</v>
      </c>
      <c r="E208" s="325" t="s">
        <v>830</v>
      </c>
      <c r="F208" s="341" t="s">
        <v>831</v>
      </c>
      <c r="G208" s="326" t="s">
        <v>832</v>
      </c>
      <c r="H208" s="325">
        <v>708.0</v>
      </c>
      <c r="I208" s="325" t="s">
        <v>67</v>
      </c>
      <c r="J208" s="327" t="s">
        <v>68</v>
      </c>
      <c r="K208" s="327" t="s">
        <v>564</v>
      </c>
      <c r="L208" s="328">
        <v>30.0</v>
      </c>
      <c r="M208" s="329">
        <v>45.0</v>
      </c>
      <c r="N208" s="330">
        <v>2014.0</v>
      </c>
      <c r="O208" s="334" t="s">
        <v>833</v>
      </c>
      <c r="P208" s="340" t="s">
        <v>834</v>
      </c>
      <c r="Q208" s="330" t="s">
        <v>85</v>
      </c>
      <c r="R208" s="330" t="s">
        <v>835</v>
      </c>
      <c r="S208" s="330">
        <v>6.0</v>
      </c>
      <c r="T208" s="330">
        <v>20.0</v>
      </c>
      <c r="U208" s="330"/>
      <c r="V208" s="330">
        <v>11.0</v>
      </c>
      <c r="W208" s="330">
        <v>8.0</v>
      </c>
      <c r="X208" s="326">
        <v>7.0</v>
      </c>
      <c r="Y208" s="326">
        <f t="shared" si="138"/>
        <v>26</v>
      </c>
      <c r="Z208" s="331">
        <f t="shared" si="139"/>
        <v>0.2307692308</v>
      </c>
      <c r="AA208" s="342">
        <v>100.0</v>
      </c>
      <c r="AB208" s="330">
        <v>1.0</v>
      </c>
      <c r="AC208" s="342">
        <v>600.0</v>
      </c>
      <c r="AD208" s="330">
        <v>1.0</v>
      </c>
      <c r="AE208" s="342">
        <v>600.0</v>
      </c>
      <c r="AF208" s="332" t="s">
        <v>100</v>
      </c>
      <c r="AG208" s="333">
        <v>506700.0</v>
      </c>
      <c r="AH208" s="342">
        <v>336613.5</v>
      </c>
      <c r="AI208" s="333">
        <v>126675.0</v>
      </c>
      <c r="AJ208" s="333">
        <f t="shared" si="140"/>
        <v>12667.5</v>
      </c>
      <c r="AK208" s="333">
        <f>0.05*AG208</f>
        <v>25335</v>
      </c>
      <c r="AL208" s="343" t="s">
        <v>836</v>
      </c>
      <c r="AM208" s="334">
        <v>2018.0</v>
      </c>
      <c r="AN208" s="344" t="s">
        <v>837</v>
      </c>
      <c r="AO208" s="335">
        <v>2023.0</v>
      </c>
      <c r="AP208" s="336" t="s">
        <v>88</v>
      </c>
      <c r="AQ208" s="343" t="s">
        <v>63</v>
      </c>
      <c r="AR208" s="345" t="s">
        <v>121</v>
      </c>
      <c r="AS208" s="327"/>
      <c r="AT208" s="327"/>
      <c r="AU208" s="327"/>
      <c r="AV208" s="327"/>
      <c r="AW208" s="337"/>
      <c r="AX208" s="337"/>
      <c r="AY208" s="337"/>
      <c r="AZ208" s="337"/>
      <c r="BA208" s="337"/>
      <c r="BB208" s="338">
        <v>44817.0</v>
      </c>
      <c r="BC208" s="338">
        <v>44817.0</v>
      </c>
      <c r="BD208" s="338">
        <v>44817.0</v>
      </c>
      <c r="BE208" s="338">
        <v>44817.0</v>
      </c>
      <c r="BF208" s="338">
        <v>44817.0</v>
      </c>
      <c r="BG208" s="339"/>
      <c r="BH208" s="337"/>
      <c r="BI208" s="337" t="s">
        <v>129</v>
      </c>
    </row>
    <row r="209" ht="15.75" customHeight="1">
      <c r="A209" s="322" t="s">
        <v>825</v>
      </c>
      <c r="B209" s="323" t="s">
        <v>63</v>
      </c>
      <c r="C209" s="324" t="s">
        <v>838</v>
      </c>
      <c r="D209" s="325" t="s">
        <v>827</v>
      </c>
      <c r="E209" s="325" t="s">
        <v>839</v>
      </c>
      <c r="F209" s="326"/>
      <c r="G209" s="326"/>
      <c r="H209" s="325"/>
      <c r="I209" s="325"/>
      <c r="J209" s="327" t="s">
        <v>68</v>
      </c>
      <c r="K209" s="327" t="s">
        <v>69</v>
      </c>
      <c r="L209" s="328"/>
      <c r="M209" s="329"/>
      <c r="N209" s="330"/>
      <c r="O209" s="330"/>
      <c r="P209" s="330"/>
      <c r="Q209" s="330"/>
      <c r="R209" s="330"/>
      <c r="S209" s="330"/>
      <c r="T209" s="330"/>
      <c r="U209" s="330"/>
      <c r="V209" s="330"/>
      <c r="W209" s="330"/>
      <c r="X209" s="326"/>
      <c r="Y209" s="326">
        <f t="shared" si="138"/>
        <v>0</v>
      </c>
      <c r="Z209" s="331" t="str">
        <f t="shared" si="139"/>
        <v>#DIV/0!</v>
      </c>
      <c r="AA209" s="330"/>
      <c r="AB209" s="330"/>
      <c r="AC209" s="330"/>
      <c r="AD209" s="330"/>
      <c r="AE209" s="330"/>
      <c r="AF209" s="332" t="str">
        <f>DATEDIF(#REF!,#REF!,"M")+1</f>
        <v>#REF!</v>
      </c>
      <c r="AG209" s="333" t="str">
        <f>LARGE(AS209:BA209,1)*((AA209*AB209)+(AC209*AD209)+(AE209*AF209))</f>
        <v>#NUM!</v>
      </c>
      <c r="AH209" s="330"/>
      <c r="AI209" s="333">
        <f>AA209*0.2</f>
        <v>0</v>
      </c>
      <c r="AJ209" s="333" t="str">
        <f t="shared" si="140"/>
        <v>#NUM!</v>
      </c>
      <c r="AK209" s="333" t="str">
        <f>0.03*AG209</f>
        <v>#NUM!</v>
      </c>
      <c r="AL209" s="327"/>
      <c r="AM209" s="334"/>
      <c r="AN209" s="335"/>
      <c r="AO209" s="335">
        <f>AM209+6</f>
        <v>6</v>
      </c>
      <c r="AP209" s="336" t="s">
        <v>156</v>
      </c>
      <c r="AQ209" s="327"/>
      <c r="AR209" s="345" t="s">
        <v>121</v>
      </c>
      <c r="AS209" s="327"/>
      <c r="AT209" s="327"/>
      <c r="AU209" s="327"/>
      <c r="AV209" s="327"/>
      <c r="AW209" s="337"/>
      <c r="AX209" s="337"/>
      <c r="AY209" s="337"/>
      <c r="AZ209" s="337"/>
      <c r="BA209" s="337"/>
      <c r="BB209" s="338">
        <v>44817.0</v>
      </c>
      <c r="BC209" s="338">
        <v>44817.0</v>
      </c>
      <c r="BD209" s="338">
        <v>44817.0</v>
      </c>
      <c r="BE209" s="338">
        <v>44817.0</v>
      </c>
      <c r="BF209" s="338">
        <v>44817.0</v>
      </c>
      <c r="BG209" s="339"/>
      <c r="BH209" s="337"/>
      <c r="BI209" s="337" t="s">
        <v>129</v>
      </c>
    </row>
    <row r="210" ht="15.75" customHeight="1">
      <c r="A210" s="322" t="s">
        <v>825</v>
      </c>
      <c r="B210" s="340" t="s">
        <v>63</v>
      </c>
      <c r="C210" s="324" t="s">
        <v>840</v>
      </c>
      <c r="D210" s="325" t="s">
        <v>827</v>
      </c>
      <c r="E210" s="325" t="s">
        <v>841</v>
      </c>
      <c r="F210" s="341" t="s">
        <v>842</v>
      </c>
      <c r="G210" s="326" t="s">
        <v>843</v>
      </c>
      <c r="H210" s="325">
        <v>360.0</v>
      </c>
      <c r="I210" s="325" t="s">
        <v>67</v>
      </c>
      <c r="J210" s="325" t="s">
        <v>68</v>
      </c>
      <c r="K210" s="327" t="s">
        <v>564</v>
      </c>
      <c r="L210" s="328">
        <v>20.0</v>
      </c>
      <c r="M210" s="329">
        <v>35.0</v>
      </c>
      <c r="N210" s="330">
        <v>2010.0</v>
      </c>
      <c r="O210" s="334" t="s">
        <v>844</v>
      </c>
      <c r="P210" s="340" t="s">
        <v>845</v>
      </c>
      <c r="Q210" s="330" t="s">
        <v>136</v>
      </c>
      <c r="R210" s="330" t="s">
        <v>846</v>
      </c>
      <c r="S210" s="330">
        <v>8.0</v>
      </c>
      <c r="T210" s="330">
        <v>5.0</v>
      </c>
      <c r="U210" s="330"/>
      <c r="V210" s="330">
        <v>10.0</v>
      </c>
      <c r="W210" s="330">
        <v>2.0</v>
      </c>
      <c r="X210" s="326">
        <v>1.0</v>
      </c>
      <c r="Y210" s="326">
        <f t="shared" si="138"/>
        <v>13</v>
      </c>
      <c r="Z210" s="331">
        <f t="shared" si="139"/>
        <v>0.6153846154</v>
      </c>
      <c r="AA210" s="342">
        <v>100.0</v>
      </c>
      <c r="AB210" s="330">
        <v>1.0</v>
      </c>
      <c r="AC210" s="342">
        <v>590.0</v>
      </c>
      <c r="AD210" s="330">
        <v>1.0</v>
      </c>
      <c r="AE210" s="342">
        <v>590.0</v>
      </c>
      <c r="AF210" s="332" t="s">
        <v>100</v>
      </c>
      <c r="AG210" s="333">
        <v>226200.0</v>
      </c>
      <c r="AH210" s="342">
        <v>128700.0</v>
      </c>
      <c r="AI210" s="333">
        <v>80535.0</v>
      </c>
      <c r="AJ210" s="333">
        <f t="shared" si="140"/>
        <v>5655</v>
      </c>
      <c r="AK210" s="333">
        <f>0.05*AG210</f>
        <v>11310</v>
      </c>
      <c r="AL210" s="343" t="s">
        <v>847</v>
      </c>
      <c r="AM210" s="334">
        <v>2021.0</v>
      </c>
      <c r="AN210" s="346" t="s">
        <v>155</v>
      </c>
      <c r="AO210" s="335">
        <v>2027.0</v>
      </c>
      <c r="AP210" s="336" t="s">
        <v>88</v>
      </c>
      <c r="AQ210" s="343" t="s">
        <v>63</v>
      </c>
      <c r="AR210" s="345" t="s">
        <v>102</v>
      </c>
      <c r="AS210" s="327"/>
      <c r="AT210" s="327"/>
      <c r="AU210" s="327"/>
      <c r="AV210" s="327"/>
      <c r="AW210" s="337"/>
      <c r="AX210" s="337"/>
      <c r="AY210" s="337"/>
      <c r="AZ210" s="337"/>
      <c r="BA210" s="337"/>
      <c r="BB210" s="338">
        <v>44817.0</v>
      </c>
      <c r="BC210" s="338">
        <v>44817.0</v>
      </c>
      <c r="BD210" s="338">
        <v>44817.0</v>
      </c>
      <c r="BE210" s="338">
        <v>44817.0</v>
      </c>
      <c r="BF210" s="338">
        <v>44817.0</v>
      </c>
      <c r="BG210" s="339"/>
      <c r="BH210" s="337"/>
      <c r="BI210" s="337"/>
    </row>
    <row r="211" ht="15.75" customHeight="1">
      <c r="A211" s="322" t="s">
        <v>825</v>
      </c>
      <c r="B211" s="340" t="s">
        <v>63</v>
      </c>
      <c r="C211" s="324" t="s">
        <v>848</v>
      </c>
      <c r="D211" s="325" t="s">
        <v>827</v>
      </c>
      <c r="E211" s="325" t="s">
        <v>849</v>
      </c>
      <c r="F211" s="341" t="s">
        <v>850</v>
      </c>
      <c r="G211" s="326" t="s">
        <v>851</v>
      </c>
      <c r="H211" s="325">
        <v>360.0</v>
      </c>
      <c r="I211" s="325" t="s">
        <v>67</v>
      </c>
      <c r="J211" s="327" t="s">
        <v>68</v>
      </c>
      <c r="K211" s="327" t="s">
        <v>564</v>
      </c>
      <c r="L211" s="328">
        <v>20.0</v>
      </c>
      <c r="M211" s="329">
        <v>35.0</v>
      </c>
      <c r="N211" s="330">
        <v>2016.0</v>
      </c>
      <c r="O211" s="347" t="s">
        <v>852</v>
      </c>
      <c r="P211" s="340" t="s">
        <v>853</v>
      </c>
      <c r="Q211" s="330" t="s">
        <v>136</v>
      </c>
      <c r="R211" s="330" t="s">
        <v>854</v>
      </c>
      <c r="S211" s="330">
        <v>7.0</v>
      </c>
      <c r="T211" s="330">
        <v>7.0</v>
      </c>
      <c r="U211" s="330"/>
      <c r="V211" s="330">
        <v>12.0</v>
      </c>
      <c r="W211" s="330">
        <v>2.0</v>
      </c>
      <c r="X211" s="326">
        <v>0.0</v>
      </c>
      <c r="Y211" s="326">
        <f t="shared" si="138"/>
        <v>14</v>
      </c>
      <c r="Z211" s="331">
        <f t="shared" si="139"/>
        <v>0.5</v>
      </c>
      <c r="AA211" s="342">
        <v>100.0</v>
      </c>
      <c r="AB211" s="330">
        <v>1.0</v>
      </c>
      <c r="AC211" s="342">
        <v>590.0</v>
      </c>
      <c r="AD211" s="330">
        <v>1.0</v>
      </c>
      <c r="AE211" s="330">
        <v>590.0</v>
      </c>
      <c r="AF211" s="332" t="s">
        <v>100</v>
      </c>
      <c r="AG211" s="333">
        <v>226200.0</v>
      </c>
      <c r="AH211" s="342">
        <v>156880.0</v>
      </c>
      <c r="AI211" s="333">
        <v>56879.0</v>
      </c>
      <c r="AJ211" s="333">
        <f t="shared" si="140"/>
        <v>5655</v>
      </c>
      <c r="AK211" s="333">
        <f t="shared" ref="AK211:AK213" si="141">0.03*AG211</f>
        <v>6786</v>
      </c>
      <c r="AL211" s="343" t="s">
        <v>855</v>
      </c>
      <c r="AM211" s="334">
        <v>2019.0</v>
      </c>
      <c r="AN211" s="346" t="s">
        <v>155</v>
      </c>
      <c r="AO211" s="335">
        <f t="shared" ref="AO211:AO214" si="142">AM211+6</f>
        <v>2025</v>
      </c>
      <c r="AP211" s="336" t="s">
        <v>156</v>
      </c>
      <c r="AQ211" s="327"/>
      <c r="AR211" s="345" t="s">
        <v>121</v>
      </c>
      <c r="AS211" s="327"/>
      <c r="AT211" s="327"/>
      <c r="AU211" s="327"/>
      <c r="AV211" s="327"/>
      <c r="AW211" s="337"/>
      <c r="AX211" s="337"/>
      <c r="AY211" s="337"/>
      <c r="AZ211" s="337"/>
      <c r="BA211" s="337"/>
      <c r="BB211" s="338">
        <v>44817.0</v>
      </c>
      <c r="BC211" s="338">
        <v>44817.0</v>
      </c>
      <c r="BD211" s="338">
        <v>44817.0</v>
      </c>
      <c r="BE211" s="338">
        <v>44817.0</v>
      </c>
      <c r="BF211" s="338">
        <v>44817.0</v>
      </c>
      <c r="BG211" s="339"/>
      <c r="BH211" s="337"/>
      <c r="BI211" s="337" t="s">
        <v>129</v>
      </c>
    </row>
    <row r="212" ht="15.75" customHeight="1">
      <c r="A212" s="322" t="s">
        <v>825</v>
      </c>
      <c r="B212" s="348" t="s">
        <v>63</v>
      </c>
      <c r="C212" s="349" t="s">
        <v>856</v>
      </c>
      <c r="D212" s="325" t="s">
        <v>827</v>
      </c>
      <c r="E212" s="325" t="s">
        <v>857</v>
      </c>
      <c r="F212" s="326"/>
      <c r="G212" s="326"/>
      <c r="H212" s="325"/>
      <c r="I212" s="325"/>
      <c r="J212" s="325" t="s">
        <v>429</v>
      </c>
      <c r="K212" s="327" t="s">
        <v>69</v>
      </c>
      <c r="L212" s="328"/>
      <c r="M212" s="329"/>
      <c r="N212" s="330"/>
      <c r="O212" s="326"/>
      <c r="P212" s="330"/>
      <c r="Q212" s="330"/>
      <c r="R212" s="330"/>
      <c r="S212" s="330"/>
      <c r="T212" s="330"/>
      <c r="U212" s="330"/>
      <c r="V212" s="330"/>
      <c r="W212" s="330"/>
      <c r="X212" s="326"/>
      <c r="Y212" s="326">
        <f t="shared" si="138"/>
        <v>0</v>
      </c>
      <c r="Z212" s="331" t="str">
        <f t="shared" si="139"/>
        <v>#DIV/0!</v>
      </c>
      <c r="AA212" s="326"/>
      <c r="AB212" s="326"/>
      <c r="AC212" s="326"/>
      <c r="AD212" s="326"/>
      <c r="AE212" s="326"/>
      <c r="AF212" s="332" t="str">
        <f t="shared" ref="AF212:AF214" si="143">DATEDIF(#REF!,#REF!,"M")+1</f>
        <v>#REF!</v>
      </c>
      <c r="AG212" s="333" t="str">
        <f t="shared" ref="AG212:AG213" si="144">LARGE(AS212:BA212,1)*((AA212*AB212)+(AC212*AD212)+(AE212*AF212))</f>
        <v>#NUM!</v>
      </c>
      <c r="AH212" s="326"/>
      <c r="AI212" s="333">
        <f t="shared" ref="AI212:AI213" si="145">AA212*0.2</f>
        <v>0</v>
      </c>
      <c r="AJ212" s="333" t="str">
        <f t="shared" si="140"/>
        <v>#NUM!</v>
      </c>
      <c r="AK212" s="333" t="str">
        <f t="shared" si="141"/>
        <v>#NUM!</v>
      </c>
      <c r="AL212" s="327"/>
      <c r="AM212" s="334"/>
      <c r="AN212" s="335"/>
      <c r="AO212" s="335">
        <f t="shared" si="142"/>
        <v>6</v>
      </c>
      <c r="AP212" s="336" t="s">
        <v>156</v>
      </c>
      <c r="AQ212" s="325"/>
      <c r="AR212" s="345" t="s">
        <v>121</v>
      </c>
      <c r="AS212" s="325"/>
      <c r="AT212" s="325"/>
      <c r="AU212" s="325"/>
      <c r="AV212" s="325"/>
      <c r="AW212" s="350"/>
      <c r="AX212" s="350"/>
      <c r="AY212" s="350"/>
      <c r="AZ212" s="350"/>
      <c r="BA212" s="350"/>
      <c r="BB212" s="338">
        <v>44817.0</v>
      </c>
      <c r="BC212" s="338">
        <v>44817.0</v>
      </c>
      <c r="BD212" s="338">
        <v>44817.0</v>
      </c>
      <c r="BE212" s="338">
        <v>44817.0</v>
      </c>
      <c r="BF212" s="338">
        <v>44817.0</v>
      </c>
      <c r="BG212" s="351"/>
      <c r="BH212" s="350"/>
      <c r="BI212" s="350" t="s">
        <v>129</v>
      </c>
    </row>
    <row r="213" ht="15.75" customHeight="1">
      <c r="A213" s="322" t="s">
        <v>825</v>
      </c>
      <c r="B213" s="352" t="s">
        <v>858</v>
      </c>
      <c r="C213" s="324" t="s">
        <v>859</v>
      </c>
      <c r="D213" s="325" t="s">
        <v>827</v>
      </c>
      <c r="E213" s="325" t="s">
        <v>860</v>
      </c>
      <c r="F213" s="326"/>
      <c r="G213" s="326"/>
      <c r="H213" s="325">
        <v>360.0</v>
      </c>
      <c r="I213" s="325"/>
      <c r="J213" s="325" t="s">
        <v>68</v>
      </c>
      <c r="K213" s="327" t="s">
        <v>69</v>
      </c>
      <c r="L213" s="328"/>
      <c r="M213" s="329"/>
      <c r="N213" s="330"/>
      <c r="O213" s="326"/>
      <c r="P213" s="330"/>
      <c r="Q213" s="330"/>
      <c r="R213" s="330"/>
      <c r="S213" s="330"/>
      <c r="T213" s="330"/>
      <c r="U213" s="330"/>
      <c r="V213" s="330"/>
      <c r="W213" s="330"/>
      <c r="X213" s="326"/>
      <c r="Y213" s="326">
        <f t="shared" si="138"/>
        <v>0</v>
      </c>
      <c r="Z213" s="331" t="str">
        <f t="shared" si="139"/>
        <v>#DIV/0!</v>
      </c>
      <c r="AA213" s="326"/>
      <c r="AB213" s="326"/>
      <c r="AC213" s="326"/>
      <c r="AD213" s="326"/>
      <c r="AE213" s="326"/>
      <c r="AF213" s="332" t="str">
        <f t="shared" si="143"/>
        <v>#REF!</v>
      </c>
      <c r="AG213" s="333" t="str">
        <f t="shared" si="144"/>
        <v>#NUM!</v>
      </c>
      <c r="AH213" s="326"/>
      <c r="AI213" s="333">
        <f t="shared" si="145"/>
        <v>0</v>
      </c>
      <c r="AJ213" s="333" t="str">
        <f t="shared" si="140"/>
        <v>#NUM!</v>
      </c>
      <c r="AK213" s="333" t="str">
        <f t="shared" si="141"/>
        <v>#NUM!</v>
      </c>
      <c r="AL213" s="327"/>
      <c r="AM213" s="334"/>
      <c r="AN213" s="335"/>
      <c r="AO213" s="335">
        <f t="shared" si="142"/>
        <v>6</v>
      </c>
      <c r="AP213" s="336" t="s">
        <v>156</v>
      </c>
      <c r="AQ213" s="325"/>
      <c r="AR213" s="345" t="s">
        <v>121</v>
      </c>
      <c r="AS213" s="325"/>
      <c r="AT213" s="325"/>
      <c r="AU213" s="325"/>
      <c r="AV213" s="325"/>
      <c r="AW213" s="350"/>
      <c r="AX213" s="350"/>
      <c r="AY213" s="350"/>
      <c r="AZ213" s="350"/>
      <c r="BA213" s="350"/>
      <c r="BB213" s="338">
        <v>44817.0</v>
      </c>
      <c r="BC213" s="338">
        <v>44817.0</v>
      </c>
      <c r="BD213" s="338">
        <v>44817.0</v>
      </c>
      <c r="BE213" s="338">
        <v>44817.0</v>
      </c>
      <c r="BF213" s="338">
        <v>44817.0</v>
      </c>
      <c r="BG213" s="351"/>
      <c r="BH213" s="350"/>
      <c r="BI213" s="350" t="s">
        <v>129</v>
      </c>
    </row>
    <row r="214" ht="15.75" customHeight="1">
      <c r="A214" s="322" t="s">
        <v>825</v>
      </c>
      <c r="B214" s="340" t="s">
        <v>858</v>
      </c>
      <c r="C214" s="324" t="s">
        <v>861</v>
      </c>
      <c r="D214" s="325" t="s">
        <v>827</v>
      </c>
      <c r="E214" s="325" t="s">
        <v>862</v>
      </c>
      <c r="F214" s="326" t="s">
        <v>863</v>
      </c>
      <c r="G214" s="326" t="s">
        <v>864</v>
      </c>
      <c r="H214" s="325">
        <v>360.0</v>
      </c>
      <c r="I214" s="325" t="s">
        <v>365</v>
      </c>
      <c r="J214" s="325" t="s">
        <v>68</v>
      </c>
      <c r="K214" s="327" t="s">
        <v>564</v>
      </c>
      <c r="L214" s="328">
        <v>10.0</v>
      </c>
      <c r="M214" s="329">
        <v>24.0</v>
      </c>
      <c r="N214" s="330">
        <v>2018.0</v>
      </c>
      <c r="O214" s="341" t="s">
        <v>865</v>
      </c>
      <c r="P214" s="340" t="s">
        <v>866</v>
      </c>
      <c r="Q214" s="330" t="s">
        <v>85</v>
      </c>
      <c r="R214" s="330" t="s">
        <v>835</v>
      </c>
      <c r="S214" s="330">
        <v>6.0</v>
      </c>
      <c r="T214" s="330">
        <v>2.0</v>
      </c>
      <c r="U214" s="330"/>
      <c r="V214" s="330">
        <v>8.0</v>
      </c>
      <c r="W214" s="330">
        <v>0.0</v>
      </c>
      <c r="X214" s="326">
        <v>0.0</v>
      </c>
      <c r="Y214" s="326">
        <f t="shared" si="138"/>
        <v>8</v>
      </c>
      <c r="Z214" s="331">
        <f t="shared" si="139"/>
        <v>0.75</v>
      </c>
      <c r="AA214" s="353">
        <v>100.0</v>
      </c>
      <c r="AB214" s="326">
        <v>1.0</v>
      </c>
      <c r="AC214" s="353">
        <v>1000.0</v>
      </c>
      <c r="AD214" s="326">
        <v>10.0</v>
      </c>
      <c r="AE214" s="326">
        <v>1300.0</v>
      </c>
      <c r="AF214" s="332" t="str">
        <f t="shared" si="143"/>
        <v>#REF!</v>
      </c>
      <c r="AG214" s="333">
        <v>141000.0</v>
      </c>
      <c r="AH214" s="353">
        <v>86160.0</v>
      </c>
      <c r="AI214" s="333">
        <v>44265.0</v>
      </c>
      <c r="AJ214" s="333">
        <f t="shared" si="140"/>
        <v>3525</v>
      </c>
      <c r="AK214" s="333">
        <f>0.05*AG214</f>
        <v>7050</v>
      </c>
      <c r="AL214" s="343" t="s">
        <v>867</v>
      </c>
      <c r="AM214" s="334">
        <v>2018.0</v>
      </c>
      <c r="AN214" s="346" t="s">
        <v>155</v>
      </c>
      <c r="AO214" s="335">
        <f t="shared" si="142"/>
        <v>2024</v>
      </c>
      <c r="AP214" s="336" t="s">
        <v>156</v>
      </c>
      <c r="AQ214" s="325"/>
      <c r="AR214" s="345" t="s">
        <v>121</v>
      </c>
      <c r="AS214" s="325"/>
      <c r="AT214" s="325"/>
      <c r="AU214" s="325"/>
      <c r="AV214" s="325"/>
      <c r="AW214" s="350"/>
      <c r="AX214" s="350"/>
      <c r="AY214" s="350"/>
      <c r="AZ214" s="350"/>
      <c r="BA214" s="350"/>
      <c r="BB214" s="338">
        <v>44817.0</v>
      </c>
      <c r="BC214" s="338">
        <v>44817.0</v>
      </c>
      <c r="BD214" s="338">
        <v>44817.0</v>
      </c>
      <c r="BE214" s="338">
        <v>44817.0</v>
      </c>
      <c r="BF214" s="338">
        <v>44817.0</v>
      </c>
      <c r="BG214" s="351"/>
      <c r="BH214" s="350"/>
      <c r="BI214" s="350" t="s">
        <v>129</v>
      </c>
    </row>
    <row r="215" ht="15.75" customHeight="1">
      <c r="A215" s="330" t="s">
        <v>825</v>
      </c>
      <c r="B215" s="340" t="s">
        <v>63</v>
      </c>
      <c r="C215" s="354" t="s">
        <v>868</v>
      </c>
      <c r="D215" s="327" t="s">
        <v>869</v>
      </c>
      <c r="E215" s="327" t="s">
        <v>870</v>
      </c>
      <c r="F215" s="347" t="s">
        <v>871</v>
      </c>
      <c r="G215" s="330" t="s">
        <v>872</v>
      </c>
      <c r="H215" s="327">
        <v>360.0</v>
      </c>
      <c r="I215" s="327" t="s">
        <v>67</v>
      </c>
      <c r="J215" s="327" t="s">
        <v>68</v>
      </c>
      <c r="K215" s="327" t="s">
        <v>564</v>
      </c>
      <c r="L215" s="327">
        <v>25.0</v>
      </c>
      <c r="M215" s="327">
        <v>50.0</v>
      </c>
      <c r="N215" s="330">
        <v>2021.0</v>
      </c>
      <c r="O215" s="334" t="s">
        <v>873</v>
      </c>
      <c r="P215" s="340" t="s">
        <v>874</v>
      </c>
      <c r="Q215" s="330" t="s">
        <v>136</v>
      </c>
      <c r="R215" s="330" t="s">
        <v>86</v>
      </c>
      <c r="S215" s="330">
        <v>4.0</v>
      </c>
      <c r="T215" s="330">
        <v>3.0</v>
      </c>
      <c r="U215" s="330"/>
      <c r="V215" s="330">
        <v>5.0</v>
      </c>
      <c r="W215" s="330">
        <v>0.0</v>
      </c>
      <c r="X215" s="326">
        <v>2.0</v>
      </c>
      <c r="Y215" s="326">
        <f t="shared" si="138"/>
        <v>7</v>
      </c>
      <c r="Z215" s="331">
        <f t="shared" si="139"/>
        <v>0.5714285714</v>
      </c>
      <c r="AA215" s="330" t="s">
        <v>370</v>
      </c>
      <c r="AB215" s="342" t="s">
        <v>370</v>
      </c>
      <c r="AC215" s="342">
        <v>320.0</v>
      </c>
      <c r="AD215" s="330">
        <v>1.0</v>
      </c>
      <c r="AE215" s="342">
        <v>700.0</v>
      </c>
      <c r="AF215" s="332" t="s">
        <v>875</v>
      </c>
      <c r="AG215" s="333" t="s">
        <v>370</v>
      </c>
      <c r="AH215" s="342">
        <v>157680.0</v>
      </c>
      <c r="AI215" s="333">
        <v>43970.0</v>
      </c>
      <c r="AJ215" s="333">
        <v>5450.0</v>
      </c>
      <c r="AK215" s="333">
        <v>10900.0</v>
      </c>
      <c r="AL215" s="343" t="s">
        <v>876</v>
      </c>
      <c r="AM215" s="334">
        <v>2021.0</v>
      </c>
      <c r="AN215" s="346" t="s">
        <v>155</v>
      </c>
      <c r="AO215" s="335">
        <v>2027.0</v>
      </c>
      <c r="AP215" s="336" t="s">
        <v>88</v>
      </c>
      <c r="AQ215" s="343" t="s">
        <v>63</v>
      </c>
      <c r="AR215" s="325" t="s">
        <v>121</v>
      </c>
      <c r="AS215" s="327"/>
      <c r="AT215" s="355"/>
      <c r="AU215" s="355"/>
      <c r="AV215" s="355"/>
      <c r="AW215" s="356"/>
      <c r="AX215" s="356"/>
      <c r="AY215" s="356"/>
      <c r="AZ215" s="356"/>
      <c r="BA215" s="356"/>
      <c r="BB215" s="338">
        <v>44817.0</v>
      </c>
      <c r="BC215" s="338">
        <v>44817.0</v>
      </c>
      <c r="BD215" s="338">
        <v>44817.0</v>
      </c>
      <c r="BE215" s="338">
        <v>44817.0</v>
      </c>
      <c r="BF215" s="338">
        <v>44817.0</v>
      </c>
      <c r="BG215" s="357"/>
      <c r="BH215" s="356"/>
      <c r="BI215" s="356"/>
    </row>
    <row r="216" ht="15.75" customHeight="1">
      <c r="A216" s="358" t="s">
        <v>825</v>
      </c>
      <c r="B216" s="359" t="s">
        <v>63</v>
      </c>
      <c r="C216" s="360" t="s">
        <v>877</v>
      </c>
      <c r="D216" s="361" t="s">
        <v>878</v>
      </c>
      <c r="E216" s="361" t="s">
        <v>879</v>
      </c>
      <c r="F216" s="362" t="s">
        <v>880</v>
      </c>
      <c r="G216" s="361" t="s">
        <v>881</v>
      </c>
      <c r="H216" s="361">
        <v>360.0</v>
      </c>
      <c r="I216" s="361" t="s">
        <v>67</v>
      </c>
      <c r="J216" s="361" t="s">
        <v>96</v>
      </c>
      <c r="K216" s="361" t="s">
        <v>564</v>
      </c>
      <c r="L216" s="361">
        <v>15.0</v>
      </c>
      <c r="M216" s="361">
        <v>30.0</v>
      </c>
      <c r="N216" s="361">
        <v>2009.0</v>
      </c>
      <c r="O216" s="363" t="s">
        <v>882</v>
      </c>
      <c r="P216" s="364" t="s">
        <v>883</v>
      </c>
      <c r="Q216" s="361" t="s">
        <v>85</v>
      </c>
      <c r="R216" s="363" t="s">
        <v>884</v>
      </c>
      <c r="S216" s="361">
        <v>8.0</v>
      </c>
      <c r="T216" s="361">
        <v>8.0</v>
      </c>
      <c r="U216" s="361"/>
      <c r="V216" s="361">
        <v>12.0</v>
      </c>
      <c r="W216" s="361">
        <v>4.0</v>
      </c>
      <c r="X216" s="361">
        <v>0.0</v>
      </c>
      <c r="Y216" s="365">
        <f t="shared" si="138"/>
        <v>16</v>
      </c>
      <c r="Z216" s="366">
        <f t="shared" si="139"/>
        <v>0.5</v>
      </c>
      <c r="AA216" s="367">
        <v>100.0</v>
      </c>
      <c r="AB216" s="361">
        <v>1.0</v>
      </c>
      <c r="AC216" s="367">
        <v>590.0</v>
      </c>
      <c r="AD216" s="361">
        <v>1.0</v>
      </c>
      <c r="AE216" s="367">
        <v>590.0</v>
      </c>
      <c r="AF216" s="368" t="s">
        <v>100</v>
      </c>
      <c r="AG216" s="369">
        <v>339300.0</v>
      </c>
      <c r="AH216" s="367">
        <v>188148.0</v>
      </c>
      <c r="AI216" s="369">
        <v>135159.42</v>
      </c>
      <c r="AJ216" s="369">
        <v>4703.7</v>
      </c>
      <c r="AK216" s="369">
        <f>0.03*AH216</f>
        <v>5644.44</v>
      </c>
      <c r="AL216" s="364" t="s">
        <v>885</v>
      </c>
      <c r="AM216" s="363">
        <v>2019.0</v>
      </c>
      <c r="AN216" s="346" t="s">
        <v>155</v>
      </c>
      <c r="AO216" s="370">
        <f t="shared" ref="AO216:AO219" si="146">AM216+6</f>
        <v>2025</v>
      </c>
      <c r="AP216" s="371" t="s">
        <v>88</v>
      </c>
      <c r="AQ216" s="364" t="s">
        <v>63</v>
      </c>
      <c r="AR216" s="372" t="s">
        <v>121</v>
      </c>
      <c r="AS216" s="361"/>
      <c r="AT216" s="361"/>
      <c r="AU216" s="361"/>
      <c r="AV216" s="361"/>
      <c r="AW216" s="373"/>
      <c r="AX216" s="373"/>
      <c r="AY216" s="373"/>
      <c r="AZ216" s="373"/>
      <c r="BA216" s="373"/>
      <c r="BB216" s="374">
        <v>44817.0</v>
      </c>
      <c r="BC216" s="374">
        <v>44817.0</v>
      </c>
      <c r="BD216" s="374">
        <v>44817.0</v>
      </c>
      <c r="BE216" s="374">
        <v>44817.0</v>
      </c>
      <c r="BF216" s="374">
        <v>44817.0</v>
      </c>
      <c r="BG216" s="373"/>
      <c r="BH216" s="373"/>
      <c r="BI216" s="375" t="s">
        <v>63</v>
      </c>
    </row>
    <row r="217" ht="15.75" customHeight="1">
      <c r="A217" s="376" t="s">
        <v>825</v>
      </c>
      <c r="B217" s="359" t="s">
        <v>63</v>
      </c>
      <c r="C217" s="324" t="s">
        <v>886</v>
      </c>
      <c r="D217" s="377" t="s">
        <v>887</v>
      </c>
      <c r="E217" s="329" t="s">
        <v>888</v>
      </c>
      <c r="F217" s="341" t="s">
        <v>889</v>
      </c>
      <c r="G217" s="329" t="s">
        <v>890</v>
      </c>
      <c r="H217" s="329">
        <v>360.0</v>
      </c>
      <c r="I217" s="329" t="s">
        <v>74</v>
      </c>
      <c r="J217" s="329" t="s">
        <v>96</v>
      </c>
      <c r="K217" s="329" t="s">
        <v>564</v>
      </c>
      <c r="L217" s="329">
        <v>30.0</v>
      </c>
      <c r="M217" s="329">
        <v>40.0</v>
      </c>
      <c r="N217" s="329">
        <v>2019.0</v>
      </c>
      <c r="O217" s="377" t="s">
        <v>891</v>
      </c>
      <c r="P217" s="378" t="s">
        <v>892</v>
      </c>
      <c r="Q217" s="377" t="s">
        <v>85</v>
      </c>
      <c r="R217" s="329" t="s">
        <v>893</v>
      </c>
      <c r="S217" s="329">
        <v>7.0</v>
      </c>
      <c r="T217" s="377">
        <v>6.0</v>
      </c>
      <c r="U217" s="377"/>
      <c r="V217" s="377">
        <v>8.0</v>
      </c>
      <c r="W217" s="377">
        <v>5.0</v>
      </c>
      <c r="X217" s="377">
        <v>0.0</v>
      </c>
      <c r="Y217" s="341">
        <f t="shared" si="138"/>
        <v>13</v>
      </c>
      <c r="Z217" s="379">
        <f t="shared" si="139"/>
        <v>0.5384615385</v>
      </c>
      <c r="AA217" s="380">
        <v>100.0</v>
      </c>
      <c r="AB217" s="329">
        <v>1.0</v>
      </c>
      <c r="AC217" s="380">
        <v>880.0</v>
      </c>
      <c r="AD217" s="329">
        <v>1.0</v>
      </c>
      <c r="AE217" s="380">
        <v>880.0</v>
      </c>
      <c r="AF217" s="381" t="str">
        <f>DATEDIF(#REF!,#REF!,"M")+1</f>
        <v>#REF!</v>
      </c>
      <c r="AG217" s="382">
        <v>403900.0</v>
      </c>
      <c r="AH217" s="380">
        <v>212540.5</v>
      </c>
      <c r="AI217" s="382">
        <v>161067.5</v>
      </c>
      <c r="AJ217" s="382">
        <f t="shared" ref="AJ217:AJ219" si="147">AG217*0.025</f>
        <v>10097.5</v>
      </c>
      <c r="AK217" s="382">
        <f t="shared" ref="AK217:AK219" si="148">0.05*AG217</f>
        <v>20195</v>
      </c>
      <c r="AL217" s="378" t="s">
        <v>894</v>
      </c>
      <c r="AM217" s="377">
        <v>2019.0</v>
      </c>
      <c r="AN217" s="346" t="s">
        <v>155</v>
      </c>
      <c r="AO217" s="383">
        <f t="shared" si="146"/>
        <v>2025</v>
      </c>
      <c r="AP217" s="384" t="s">
        <v>156</v>
      </c>
      <c r="AQ217" s="329"/>
      <c r="AR217" s="385" t="s">
        <v>102</v>
      </c>
      <c r="AS217" s="329"/>
      <c r="AT217" s="329"/>
      <c r="AU217" s="329"/>
      <c r="AV217" s="329"/>
      <c r="AW217" s="386"/>
      <c r="AX217" s="386"/>
      <c r="AY217" s="386"/>
      <c r="AZ217" s="386"/>
      <c r="BA217" s="386"/>
      <c r="BB217" s="387">
        <v>44817.0</v>
      </c>
      <c r="BC217" s="387">
        <v>44817.0</v>
      </c>
      <c r="BD217" s="387">
        <v>44817.0</v>
      </c>
      <c r="BE217" s="387">
        <v>44817.0</v>
      </c>
      <c r="BF217" s="387">
        <v>44817.0</v>
      </c>
      <c r="BG217" s="386"/>
      <c r="BH217" s="386"/>
      <c r="BI217" s="388" t="s">
        <v>129</v>
      </c>
    </row>
    <row r="218" ht="15.75" customHeight="1">
      <c r="A218" s="376" t="s">
        <v>825</v>
      </c>
      <c r="B218" s="359" t="s">
        <v>63</v>
      </c>
      <c r="C218" s="324" t="s">
        <v>895</v>
      </c>
      <c r="D218" s="329" t="s">
        <v>896</v>
      </c>
      <c r="E218" s="329" t="s">
        <v>897</v>
      </c>
      <c r="F218" s="329" t="s">
        <v>898</v>
      </c>
      <c r="G218" s="329" t="s">
        <v>899</v>
      </c>
      <c r="H218" s="329">
        <v>380.0</v>
      </c>
      <c r="I218" s="329" t="s">
        <v>67</v>
      </c>
      <c r="J218" s="329" t="s">
        <v>68</v>
      </c>
      <c r="K218" s="329" t="s">
        <v>69</v>
      </c>
      <c r="L218" s="329">
        <v>35.0</v>
      </c>
      <c r="M218" s="329">
        <v>50.0</v>
      </c>
      <c r="N218" s="329">
        <v>2020.0</v>
      </c>
      <c r="O218" s="329" t="s">
        <v>900</v>
      </c>
      <c r="P218" s="378" t="s">
        <v>230</v>
      </c>
      <c r="Q218" s="329" t="s">
        <v>136</v>
      </c>
      <c r="R218" s="377" t="s">
        <v>901</v>
      </c>
      <c r="S218" s="329">
        <v>8.0</v>
      </c>
      <c r="T218" s="329">
        <v>4.0</v>
      </c>
      <c r="U218" s="329"/>
      <c r="V218" s="329">
        <v>7.0</v>
      </c>
      <c r="W218" s="329">
        <v>4.0</v>
      </c>
      <c r="X218" s="329">
        <v>1.0</v>
      </c>
      <c r="Y218" s="389">
        <f t="shared" si="138"/>
        <v>12</v>
      </c>
      <c r="Z218" s="379">
        <f t="shared" si="139"/>
        <v>0.6666666667</v>
      </c>
      <c r="AA218" s="380">
        <v>100.0</v>
      </c>
      <c r="AB218" s="329" t="s">
        <v>370</v>
      </c>
      <c r="AC218" s="380">
        <v>1000.0</v>
      </c>
      <c r="AD218" s="329">
        <v>1.0</v>
      </c>
      <c r="AE218" s="380">
        <v>710.0</v>
      </c>
      <c r="AF218" s="381" t="s">
        <v>566</v>
      </c>
      <c r="AG218" s="382">
        <v>207360.0</v>
      </c>
      <c r="AH218" s="380">
        <v>146680.0</v>
      </c>
      <c r="AI218" s="382">
        <v>45128.0</v>
      </c>
      <c r="AJ218" s="382">
        <f t="shared" si="147"/>
        <v>5184</v>
      </c>
      <c r="AK218" s="382">
        <f t="shared" si="148"/>
        <v>10368</v>
      </c>
      <c r="AL218" s="378" t="s">
        <v>902</v>
      </c>
      <c r="AM218" s="377">
        <v>2020.0</v>
      </c>
      <c r="AN218" s="346" t="s">
        <v>155</v>
      </c>
      <c r="AO218" s="383">
        <f t="shared" si="146"/>
        <v>2026</v>
      </c>
      <c r="AP218" s="384" t="s">
        <v>88</v>
      </c>
      <c r="AQ218" s="378" t="s">
        <v>63</v>
      </c>
      <c r="AR218" s="385" t="s">
        <v>102</v>
      </c>
      <c r="AS218" s="329"/>
      <c r="AT218" s="329"/>
      <c r="AU218" s="329"/>
      <c r="AV218" s="329"/>
      <c r="AW218" s="386"/>
      <c r="AX218" s="386"/>
      <c r="AY218" s="386"/>
      <c r="AZ218" s="386"/>
      <c r="BA218" s="386"/>
      <c r="BB218" s="387">
        <v>44817.0</v>
      </c>
      <c r="BC218" s="387">
        <v>44817.0</v>
      </c>
      <c r="BD218" s="387">
        <v>44817.0</v>
      </c>
      <c r="BE218" s="387">
        <v>44817.0</v>
      </c>
      <c r="BF218" s="387">
        <v>44817.0</v>
      </c>
      <c r="BG218" s="386"/>
      <c r="BH218" s="386"/>
      <c r="BI218" s="388" t="s">
        <v>129</v>
      </c>
    </row>
    <row r="219" ht="15.75" customHeight="1">
      <c r="A219" s="376" t="s">
        <v>825</v>
      </c>
      <c r="B219" s="359" t="s">
        <v>63</v>
      </c>
      <c r="C219" s="324" t="s">
        <v>903</v>
      </c>
      <c r="D219" s="329" t="s">
        <v>896</v>
      </c>
      <c r="E219" s="329" t="s">
        <v>904</v>
      </c>
      <c r="F219" s="329" t="s">
        <v>905</v>
      </c>
      <c r="G219" s="329" t="s">
        <v>872</v>
      </c>
      <c r="H219" s="329">
        <v>360.0</v>
      </c>
      <c r="I219" s="329" t="s">
        <v>67</v>
      </c>
      <c r="J219" s="329" t="s">
        <v>68</v>
      </c>
      <c r="K219" s="329" t="s">
        <v>415</v>
      </c>
      <c r="L219" s="329">
        <v>25.0</v>
      </c>
      <c r="M219" s="329">
        <v>50.0</v>
      </c>
      <c r="N219" s="329">
        <v>2020.0</v>
      </c>
      <c r="O219" s="377" t="s">
        <v>906</v>
      </c>
      <c r="P219" s="378" t="s">
        <v>874</v>
      </c>
      <c r="Q219" s="329" t="s">
        <v>136</v>
      </c>
      <c r="R219" s="329" t="s">
        <v>907</v>
      </c>
      <c r="S219" s="329">
        <v>6.0</v>
      </c>
      <c r="T219" s="329">
        <v>4.0</v>
      </c>
      <c r="U219" s="329"/>
      <c r="V219" s="329">
        <v>7.0</v>
      </c>
      <c r="W219" s="329">
        <v>1.0</v>
      </c>
      <c r="X219" s="329">
        <v>1.0</v>
      </c>
      <c r="Y219" s="389">
        <f t="shared" si="138"/>
        <v>10</v>
      </c>
      <c r="Z219" s="379">
        <f t="shared" si="139"/>
        <v>0.6</v>
      </c>
      <c r="AA219" s="329" t="s">
        <v>370</v>
      </c>
      <c r="AB219" s="329" t="s">
        <v>370</v>
      </c>
      <c r="AC219" s="380">
        <v>350.0</v>
      </c>
      <c r="AD219" s="329">
        <v>1.0</v>
      </c>
      <c r="AE219" s="380">
        <v>829.0</v>
      </c>
      <c r="AF219" s="381" t="str">
        <f>DATEDIF(#REF!,#REF!,"M")+1</f>
        <v>#REF!</v>
      </c>
      <c r="AG219" s="382">
        <v>257450.0</v>
      </c>
      <c r="AH219" s="380">
        <v>185760.0</v>
      </c>
      <c r="AI219" s="382">
        <v>52381.25</v>
      </c>
      <c r="AJ219" s="382">
        <f t="shared" si="147"/>
        <v>6436.25</v>
      </c>
      <c r="AK219" s="382">
        <f t="shared" si="148"/>
        <v>12872.5</v>
      </c>
      <c r="AL219" s="378" t="s">
        <v>908</v>
      </c>
      <c r="AM219" s="377">
        <v>2020.0</v>
      </c>
      <c r="AN219" s="346" t="s">
        <v>155</v>
      </c>
      <c r="AO219" s="383">
        <f t="shared" si="146"/>
        <v>2026</v>
      </c>
      <c r="AP219" s="384" t="s">
        <v>88</v>
      </c>
      <c r="AQ219" s="378" t="s">
        <v>63</v>
      </c>
      <c r="AR219" s="385" t="s">
        <v>121</v>
      </c>
      <c r="AS219" s="329"/>
      <c r="AT219" s="329"/>
      <c r="AU219" s="329"/>
      <c r="AV219" s="329"/>
      <c r="AW219" s="386"/>
      <c r="AX219" s="386"/>
      <c r="AY219" s="386"/>
      <c r="AZ219" s="386"/>
      <c r="BA219" s="386"/>
      <c r="BB219" s="387">
        <v>44817.0</v>
      </c>
      <c r="BC219" s="387">
        <v>44817.0</v>
      </c>
      <c r="BD219" s="387">
        <v>44817.0</v>
      </c>
      <c r="BE219" s="387">
        <v>44817.0</v>
      </c>
      <c r="BF219" s="387">
        <v>44817.0</v>
      </c>
      <c r="BG219" s="386"/>
      <c r="BH219" s="386"/>
      <c r="BI219" s="388" t="s">
        <v>129</v>
      </c>
    </row>
    <row r="220" ht="15.75" customHeight="1">
      <c r="A220" s="358" t="s">
        <v>825</v>
      </c>
      <c r="B220" s="390" t="s">
        <v>63</v>
      </c>
      <c r="C220" s="354" t="s">
        <v>909</v>
      </c>
      <c r="D220" s="391" t="s">
        <v>910</v>
      </c>
      <c r="E220" s="392" t="s">
        <v>911</v>
      </c>
      <c r="F220" s="391"/>
      <c r="G220" s="391"/>
      <c r="H220" s="392">
        <v>375.0</v>
      </c>
      <c r="I220" s="329" t="s">
        <v>67</v>
      </c>
      <c r="J220" s="329" t="s">
        <v>68</v>
      </c>
      <c r="K220" s="329" t="s">
        <v>415</v>
      </c>
      <c r="L220" s="392">
        <v>20.0</v>
      </c>
      <c r="M220" s="392">
        <v>50.0</v>
      </c>
      <c r="N220" s="391"/>
      <c r="O220" s="334"/>
      <c r="P220" s="391"/>
      <c r="Q220" s="391"/>
      <c r="R220" s="391"/>
      <c r="S220" s="391"/>
      <c r="T220" s="391"/>
      <c r="U220" s="391"/>
      <c r="V220" s="391"/>
      <c r="W220" s="391"/>
      <c r="X220" s="391"/>
      <c r="Y220" s="358"/>
      <c r="Z220" s="393"/>
      <c r="AA220" s="391"/>
      <c r="AB220" s="391"/>
      <c r="AC220" s="394"/>
      <c r="AD220" s="391"/>
      <c r="AE220" s="394"/>
      <c r="AF220" s="395"/>
      <c r="AG220" s="396"/>
      <c r="AH220" s="394"/>
      <c r="AI220" s="396"/>
      <c r="AJ220" s="396"/>
      <c r="AK220" s="396"/>
      <c r="AL220" s="391"/>
      <c r="AM220" s="334"/>
      <c r="AN220" s="397"/>
      <c r="AO220" s="398"/>
      <c r="AP220" s="399"/>
      <c r="AQ220" s="391"/>
      <c r="AR220" s="400"/>
      <c r="AS220" s="391"/>
      <c r="AT220" s="391"/>
      <c r="AU220" s="391"/>
      <c r="AV220" s="391"/>
      <c r="AW220" s="401"/>
      <c r="AX220" s="401"/>
      <c r="AY220" s="401"/>
      <c r="AZ220" s="401"/>
      <c r="BA220" s="401"/>
      <c r="BB220" s="402"/>
      <c r="BC220" s="402"/>
      <c r="BD220" s="402"/>
      <c r="BE220" s="402"/>
      <c r="BF220" s="402"/>
      <c r="BG220" s="401"/>
      <c r="BH220" s="401"/>
      <c r="BI220" s="403"/>
    </row>
    <row r="221" ht="15.75" customHeight="1">
      <c r="A221" s="358" t="s">
        <v>825</v>
      </c>
      <c r="B221" s="390" t="s">
        <v>63</v>
      </c>
      <c r="C221" s="354" t="s">
        <v>912</v>
      </c>
      <c r="D221" s="392" t="s">
        <v>913</v>
      </c>
      <c r="E221" s="392" t="s">
        <v>914</v>
      </c>
      <c r="F221" s="391"/>
      <c r="G221" s="391"/>
      <c r="H221" s="392">
        <v>360.0</v>
      </c>
      <c r="I221" s="392" t="s">
        <v>74</v>
      </c>
      <c r="J221" s="392" t="s">
        <v>68</v>
      </c>
      <c r="K221" s="392" t="s">
        <v>69</v>
      </c>
      <c r="L221" s="392">
        <v>25.0</v>
      </c>
      <c r="M221" s="392">
        <v>50.0</v>
      </c>
      <c r="N221" s="391"/>
      <c r="O221" s="334"/>
      <c r="P221" s="391"/>
      <c r="Q221" s="391"/>
      <c r="R221" s="391"/>
      <c r="S221" s="391"/>
      <c r="T221" s="391"/>
      <c r="U221" s="391"/>
      <c r="V221" s="391"/>
      <c r="W221" s="391"/>
      <c r="X221" s="391"/>
      <c r="Y221" s="358"/>
      <c r="Z221" s="393"/>
      <c r="AA221" s="391"/>
      <c r="AB221" s="391"/>
      <c r="AC221" s="394"/>
      <c r="AD221" s="391"/>
      <c r="AE221" s="394"/>
      <c r="AF221" s="395"/>
      <c r="AG221" s="396"/>
      <c r="AH221" s="394"/>
      <c r="AI221" s="396"/>
      <c r="AJ221" s="396"/>
      <c r="AK221" s="396"/>
      <c r="AL221" s="391"/>
      <c r="AM221" s="334"/>
      <c r="AN221" s="397"/>
      <c r="AO221" s="398"/>
      <c r="AP221" s="399"/>
      <c r="AQ221" s="391"/>
      <c r="AR221" s="400"/>
      <c r="AS221" s="391"/>
      <c r="AT221" s="391"/>
      <c r="AU221" s="391"/>
      <c r="AV221" s="391"/>
      <c r="AW221" s="401"/>
      <c r="AX221" s="401"/>
      <c r="AY221" s="401"/>
      <c r="AZ221" s="401"/>
      <c r="BA221" s="401"/>
      <c r="BB221" s="402"/>
      <c r="BC221" s="402"/>
      <c r="BD221" s="402"/>
      <c r="BE221" s="402"/>
      <c r="BF221" s="402"/>
      <c r="BG221" s="401"/>
      <c r="BH221" s="401"/>
      <c r="BI221" s="403"/>
    </row>
    <row r="222" ht="15.75" customHeight="1">
      <c r="A222" s="358" t="s">
        <v>825</v>
      </c>
      <c r="B222" s="390" t="s">
        <v>63</v>
      </c>
      <c r="C222" s="354" t="s">
        <v>915</v>
      </c>
      <c r="D222" s="391" t="s">
        <v>916</v>
      </c>
      <c r="E222" s="392" t="s">
        <v>917</v>
      </c>
      <c r="F222" s="391"/>
      <c r="G222" s="391"/>
      <c r="H222" s="392">
        <v>380.0</v>
      </c>
      <c r="I222" s="392" t="s">
        <v>918</v>
      </c>
      <c r="J222" s="392" t="s">
        <v>68</v>
      </c>
      <c r="K222" s="392" t="s">
        <v>69</v>
      </c>
      <c r="L222" s="392">
        <v>20.0</v>
      </c>
      <c r="M222" s="392">
        <v>50.0</v>
      </c>
      <c r="N222" s="391"/>
      <c r="O222" s="334"/>
      <c r="P222" s="391"/>
      <c r="Q222" s="391"/>
      <c r="R222" s="391"/>
      <c r="S222" s="391"/>
      <c r="T222" s="391"/>
      <c r="U222" s="391"/>
      <c r="V222" s="391"/>
      <c r="W222" s="391"/>
      <c r="X222" s="391"/>
      <c r="Y222" s="358"/>
      <c r="Z222" s="393"/>
      <c r="AA222" s="391"/>
      <c r="AB222" s="391"/>
      <c r="AC222" s="394"/>
      <c r="AD222" s="391"/>
      <c r="AE222" s="394"/>
      <c r="AF222" s="395"/>
      <c r="AG222" s="396"/>
      <c r="AH222" s="394"/>
      <c r="AI222" s="396"/>
      <c r="AJ222" s="396"/>
      <c r="AK222" s="396"/>
      <c r="AL222" s="391"/>
      <c r="AM222" s="334"/>
      <c r="AN222" s="397"/>
      <c r="AO222" s="398"/>
      <c r="AP222" s="399"/>
      <c r="AQ222" s="391"/>
      <c r="AR222" s="400"/>
      <c r="AS222" s="391"/>
      <c r="AT222" s="391"/>
      <c r="AU222" s="391"/>
      <c r="AV222" s="391"/>
      <c r="AW222" s="401"/>
      <c r="AX222" s="401"/>
      <c r="AY222" s="401"/>
      <c r="AZ222" s="401"/>
      <c r="BA222" s="401"/>
      <c r="BB222" s="402"/>
      <c r="BC222" s="402"/>
      <c r="BD222" s="402"/>
      <c r="BE222" s="402"/>
      <c r="BF222" s="402"/>
      <c r="BG222" s="401"/>
      <c r="BH222" s="401"/>
      <c r="BI222" s="403"/>
    </row>
    <row r="223" ht="15.75" customHeight="1">
      <c r="A223" s="404" t="s">
        <v>919</v>
      </c>
      <c r="B223" s="405" t="s">
        <v>63</v>
      </c>
      <c r="C223" s="406" t="s">
        <v>920</v>
      </c>
      <c r="D223" s="407" t="s">
        <v>921</v>
      </c>
      <c r="E223" s="407" t="s">
        <v>922</v>
      </c>
      <c r="F223" s="407"/>
      <c r="G223" s="407"/>
      <c r="H223" s="407">
        <v>360.0</v>
      </c>
      <c r="I223" s="407" t="s">
        <v>74</v>
      </c>
      <c r="J223" s="407" t="s">
        <v>429</v>
      </c>
      <c r="K223" s="407" t="s">
        <v>415</v>
      </c>
      <c r="L223" s="407">
        <v>30.0</v>
      </c>
      <c r="M223" s="407">
        <v>60.0</v>
      </c>
      <c r="N223" s="407"/>
      <c r="O223" s="408"/>
      <c r="P223" s="407"/>
      <c r="Q223" s="407"/>
      <c r="R223" s="407"/>
      <c r="S223" s="407"/>
      <c r="T223" s="407"/>
      <c r="U223" s="407"/>
      <c r="V223" s="407"/>
      <c r="W223" s="407"/>
      <c r="X223" s="407"/>
      <c r="Y223" s="404"/>
      <c r="Z223" s="409"/>
      <c r="AA223" s="407"/>
      <c r="AB223" s="407"/>
      <c r="AC223" s="410"/>
      <c r="AD223" s="407"/>
      <c r="AE223" s="410"/>
      <c r="AF223" s="411"/>
      <c r="AG223" s="412"/>
      <c r="AH223" s="410"/>
      <c r="AI223" s="412"/>
      <c r="AJ223" s="412"/>
      <c r="AK223" s="412"/>
      <c r="AL223" s="407"/>
      <c r="AM223" s="408"/>
      <c r="AN223" s="413"/>
      <c r="AO223" s="414"/>
      <c r="AP223" s="415"/>
      <c r="AQ223" s="407"/>
      <c r="AR223" s="416"/>
      <c r="AS223" s="417"/>
      <c r="AT223" s="417"/>
      <c r="AU223" s="417"/>
      <c r="AV223" s="417"/>
      <c r="AW223" s="401"/>
      <c r="AX223" s="401"/>
      <c r="AY223" s="401"/>
      <c r="AZ223" s="401"/>
      <c r="BA223" s="401"/>
      <c r="BB223" s="402"/>
      <c r="BC223" s="402"/>
      <c r="BD223" s="402"/>
      <c r="BE223" s="402"/>
      <c r="BF223" s="402"/>
      <c r="BG223" s="401"/>
      <c r="BH223" s="401"/>
      <c r="BI223" s="403"/>
    </row>
    <row r="224" ht="15.75" customHeight="1">
      <c r="A224" s="404" t="s">
        <v>919</v>
      </c>
      <c r="B224" s="405" t="s">
        <v>63</v>
      </c>
      <c r="C224" s="406" t="s">
        <v>923</v>
      </c>
      <c r="D224" s="407" t="s">
        <v>921</v>
      </c>
      <c r="E224" s="407" t="s">
        <v>922</v>
      </c>
      <c r="F224" s="407"/>
      <c r="G224" s="407"/>
      <c r="H224" s="407">
        <v>360.0</v>
      </c>
      <c r="I224" s="407" t="s">
        <v>74</v>
      </c>
      <c r="J224" s="407" t="s">
        <v>68</v>
      </c>
      <c r="K224" s="407" t="s">
        <v>415</v>
      </c>
      <c r="L224" s="407">
        <v>30.0</v>
      </c>
      <c r="M224" s="407">
        <v>60.0</v>
      </c>
      <c r="N224" s="407"/>
      <c r="O224" s="408"/>
      <c r="P224" s="407"/>
      <c r="Q224" s="407"/>
      <c r="R224" s="407"/>
      <c r="S224" s="407"/>
      <c r="T224" s="407"/>
      <c r="U224" s="407"/>
      <c r="V224" s="407"/>
      <c r="W224" s="407"/>
      <c r="X224" s="407"/>
      <c r="Y224" s="404"/>
      <c r="Z224" s="409"/>
      <c r="AA224" s="407"/>
      <c r="AB224" s="407"/>
      <c r="AC224" s="410"/>
      <c r="AD224" s="407"/>
      <c r="AE224" s="410"/>
      <c r="AF224" s="411"/>
      <c r="AG224" s="412"/>
      <c r="AH224" s="410"/>
      <c r="AI224" s="412"/>
      <c r="AJ224" s="412"/>
      <c r="AK224" s="412"/>
      <c r="AL224" s="407"/>
      <c r="AM224" s="408"/>
      <c r="AN224" s="413"/>
      <c r="AO224" s="414"/>
      <c r="AP224" s="415"/>
      <c r="AQ224" s="407"/>
      <c r="AR224" s="416"/>
      <c r="AS224" s="417"/>
      <c r="AT224" s="417"/>
      <c r="AU224" s="417"/>
      <c r="AV224" s="417"/>
      <c r="AW224" s="401"/>
      <c r="AX224" s="401"/>
      <c r="AY224" s="401"/>
      <c r="AZ224" s="401"/>
      <c r="BA224" s="401"/>
      <c r="BB224" s="402"/>
      <c r="BC224" s="402"/>
      <c r="BD224" s="402"/>
      <c r="BE224" s="402"/>
      <c r="BF224" s="402"/>
      <c r="BG224" s="401"/>
      <c r="BH224" s="401"/>
      <c r="BI224" s="403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603B327-9DD7-4261-91DB-519B8B1D8933}" filter="1" showAutoFilter="1">
      <autoFilter ref="$A$3:$BH$224"/>
      <extLst>
        <ext uri="GoogleSheetsCustomDataVersion1">
          <go:sheetsCustomData xmlns:go="http://customooxmlschemas.google.com/" filterViewId="1550681710"/>
        </ext>
      </extLst>
    </customSheetView>
  </customSheetViews>
  <mergeCells count="1">
    <mergeCell ref="AL2:AO2"/>
  </mergeCells>
  <conditionalFormatting sqref="AP1:AP224">
    <cfRule type="containsText" dxfId="0" priority="1" operator="containsText" text="sim">
      <formula>NOT(ISERROR(SEARCH(("sim"),(AP1))))</formula>
    </cfRule>
  </conditionalFormatting>
  <conditionalFormatting sqref="AP1:AP224">
    <cfRule type="containsText" dxfId="1" priority="2" operator="containsText" text="Não">
      <formula>NOT(ISERROR(SEARCH(("Não"),(AP1))))</formula>
    </cfRule>
  </conditionalFormatting>
  <conditionalFormatting sqref="Z1:Z8 Z10:Z224">
    <cfRule type="cellIs" dxfId="2" priority="3" operator="greaterThanOrEqual">
      <formula>"50%"</formula>
    </cfRule>
  </conditionalFormatting>
  <conditionalFormatting sqref="AR1:AR224">
    <cfRule type="containsText" dxfId="3" priority="4" operator="containsText" text="EM ANDAMENTO">
      <formula>NOT(ISERROR(SEARCH(("EM ANDAMENTO"),(AR1))))</formula>
    </cfRule>
  </conditionalFormatting>
  <conditionalFormatting sqref="AR1:AR224">
    <cfRule type="containsText" dxfId="4" priority="5" operator="containsText" text="CONCLUÍDA">
      <formula>NOT(ISERROR(SEARCH(("CONCLUÍDA"),(AR1))))</formula>
    </cfRule>
  </conditionalFormatting>
  <conditionalFormatting sqref="AR4:AR34 AR48:AR138 AR145:AR214">
    <cfRule type="containsText" dxfId="5" priority="6" operator="containsText" text="CURSO NOVO">
      <formula>NOT(ISERROR(SEARCH(("CURSO NOVO"),(AR4))))</formula>
    </cfRule>
  </conditionalFormatting>
  <dataValidations>
    <dataValidation type="list" allowBlank="1" sqref="AR5">
      <formula1>"EM ANDAMENTO,INATIVO,ENCERRADO"</formula1>
    </dataValidation>
    <dataValidation type="list" allowBlank="1" sqref="AR9">
      <formula1>"EM ANDAMENTO,CONCLUÍDA"</formula1>
    </dataValidation>
    <dataValidation type="list" allowBlank="1" sqref="AP4:AP224">
      <formula1>"Sim,Não"</formula1>
    </dataValidation>
    <dataValidation type="list" allowBlank="1" sqref="AR4 AR6:AR8 AR10:AR224">
      <formula1>"CURSO NOVO,EM ANDAMENTO,CONCLUÍDA"</formula1>
    </dataValidation>
  </dataValidations>
  <hyperlinks>
    <hyperlink r:id="rId1" ref="BB2"/>
    <hyperlink r:id="rId2" ref="AQ3"/>
    <hyperlink r:id="rId3" ref="B4"/>
    <hyperlink r:id="rId4" ref="B5"/>
    <hyperlink r:id="rId5" ref="B6"/>
    <hyperlink r:id="rId6" ref="B7"/>
    <hyperlink r:id="rId7" ref="B8"/>
    <hyperlink r:id="rId8" ref="P8"/>
    <hyperlink r:id="rId9" ref="AL8"/>
    <hyperlink r:id="rId10" ref="AQ8"/>
    <hyperlink r:id="rId11" ref="BH8"/>
    <hyperlink r:id="rId12" ref="BI8"/>
    <hyperlink r:id="rId13" ref="B9"/>
    <hyperlink r:id="rId14" ref="P9"/>
    <hyperlink r:id="rId15" ref="AL9"/>
    <hyperlink r:id="rId16" ref="AQ9"/>
    <hyperlink r:id="rId17" ref="BH9"/>
    <hyperlink r:id="rId18" ref="BI9"/>
    <hyperlink r:id="rId19" ref="B10"/>
    <hyperlink r:id="rId20" ref="BH10"/>
    <hyperlink r:id="rId21" ref="BI10"/>
    <hyperlink r:id="rId22" ref="B11"/>
    <hyperlink r:id="rId23" ref="BH11"/>
    <hyperlink r:id="rId24" ref="BI11"/>
    <hyperlink r:id="rId25" ref="B12"/>
    <hyperlink r:id="rId26" ref="BH12"/>
    <hyperlink r:id="rId27" ref="BI12"/>
    <hyperlink r:id="rId28" ref="B13"/>
    <hyperlink r:id="rId29" ref="P13"/>
    <hyperlink r:id="rId30" ref="AL13"/>
    <hyperlink r:id="rId31" ref="AQ13"/>
    <hyperlink r:id="rId32" ref="BH13"/>
    <hyperlink r:id="rId33" ref="BI13"/>
    <hyperlink r:id="rId34" ref="B14"/>
    <hyperlink r:id="rId35" ref="AL14"/>
    <hyperlink r:id="rId36" ref="AN14"/>
    <hyperlink r:id="rId37" ref="AQ14"/>
    <hyperlink r:id="rId38" ref="B15"/>
    <hyperlink r:id="rId39" ref="P15"/>
    <hyperlink r:id="rId40" ref="AL15"/>
    <hyperlink r:id="rId41" ref="AN15"/>
    <hyperlink r:id="rId42" ref="AQ15"/>
    <hyperlink r:id="rId43" ref="B16"/>
    <hyperlink r:id="rId44" ref="P16"/>
    <hyperlink r:id="rId45" ref="AL16"/>
    <hyperlink r:id="rId46" ref="AN16"/>
    <hyperlink r:id="rId47" ref="AQ16"/>
    <hyperlink r:id="rId48" ref="B17"/>
    <hyperlink r:id="rId49" ref="P17"/>
    <hyperlink r:id="rId50" ref="AL17"/>
    <hyperlink r:id="rId51" ref="B18"/>
    <hyperlink r:id="rId52" ref="P18"/>
    <hyperlink r:id="rId53" ref="AL18"/>
    <hyperlink r:id="rId54" ref="AQ18"/>
    <hyperlink r:id="rId55" ref="B19"/>
    <hyperlink r:id="rId56" ref="P19"/>
    <hyperlink r:id="rId57" ref="AL19"/>
    <hyperlink r:id="rId58" ref="AQ19"/>
    <hyperlink r:id="rId59" ref="B20"/>
    <hyperlink r:id="rId60" ref="P20"/>
    <hyperlink r:id="rId61" ref="AQ20"/>
    <hyperlink r:id="rId62" ref="B21"/>
    <hyperlink r:id="rId63" ref="P21"/>
    <hyperlink r:id="rId64" ref="AL21"/>
    <hyperlink r:id="rId65" ref="BI21"/>
    <hyperlink r:id="rId66" ref="B22"/>
    <hyperlink r:id="rId67" ref="P22"/>
    <hyperlink r:id="rId68" ref="AL22"/>
    <hyperlink r:id="rId69" ref="B23"/>
    <hyperlink r:id="rId70" ref="P23"/>
    <hyperlink r:id="rId71" ref="AL23"/>
    <hyperlink r:id="rId72" ref="B24"/>
    <hyperlink r:id="rId73" ref="P24"/>
    <hyperlink r:id="rId74" ref="AL24"/>
    <hyperlink r:id="rId75" ref="AN24"/>
    <hyperlink r:id="rId76" ref="AQ24"/>
    <hyperlink r:id="rId77" ref="B25"/>
    <hyperlink r:id="rId78" ref="P25"/>
    <hyperlink r:id="rId79" ref="AL25"/>
    <hyperlink r:id="rId80" ref="AQ25"/>
    <hyperlink r:id="rId81" ref="B26"/>
    <hyperlink r:id="rId82" ref="AL26"/>
    <hyperlink r:id="rId83" ref="B27"/>
    <hyperlink r:id="rId84" ref="P27"/>
    <hyperlink r:id="rId85" ref="AL27"/>
    <hyperlink r:id="rId86" ref="AQ27"/>
    <hyperlink r:id="rId87" ref="B28"/>
    <hyperlink r:id="rId88" ref="AL28"/>
    <hyperlink r:id="rId89" ref="B29"/>
    <hyperlink r:id="rId90" ref="P29"/>
    <hyperlink r:id="rId91" ref="AL29"/>
    <hyperlink r:id="rId92" ref="B30"/>
    <hyperlink r:id="rId93" ref="AL30"/>
    <hyperlink r:id="rId94" ref="B31"/>
    <hyperlink r:id="rId95" ref="P31"/>
    <hyperlink r:id="rId96" ref="AL31"/>
    <hyperlink r:id="rId97" ref="B32"/>
    <hyperlink r:id="rId98" ref="AL32"/>
    <hyperlink r:id="rId99" ref="B33"/>
    <hyperlink r:id="rId100" ref="P33"/>
    <hyperlink r:id="rId101" ref="AL33"/>
    <hyperlink r:id="rId102" ref="B34"/>
    <hyperlink r:id="rId103" ref="P34"/>
    <hyperlink r:id="rId104" ref="AL34"/>
    <hyperlink r:id="rId105" ref="AN34"/>
    <hyperlink r:id="rId106" ref="B35"/>
    <hyperlink r:id="rId107" ref="AL35"/>
    <hyperlink r:id="rId108" ref="B36"/>
    <hyperlink r:id="rId109" ref="AL36"/>
    <hyperlink r:id="rId110" ref="B37"/>
    <hyperlink r:id="rId111" ref="AL37"/>
    <hyperlink r:id="rId112" ref="B38"/>
    <hyperlink r:id="rId113" ref="AL38"/>
    <hyperlink r:id="rId114" ref="B39"/>
    <hyperlink r:id="rId115" ref="AL39"/>
    <hyperlink r:id="rId116" ref="B40"/>
    <hyperlink r:id="rId117" ref="B41"/>
    <hyperlink r:id="rId118" ref="B42"/>
    <hyperlink r:id="rId119" ref="B43"/>
    <hyperlink r:id="rId120" ref="B44"/>
    <hyperlink r:id="rId121" ref="B45"/>
    <hyperlink r:id="rId122" ref="B46"/>
    <hyperlink r:id="rId123" ref="AQ46"/>
    <hyperlink r:id="rId124" location=":~:text=LEI%20No%206.932%2C%20DE%207%20DE%20JULHO%20DE%201981.&amp;text=Disp%C3%B5e%20sobre%20as%20atividades%20do%20m%C3%A9dico%20residente%20e%20d%C3%A1%20outras%20provid%C3%AAncias." ref="AL48"/>
    <hyperlink r:id="rId125" location=":~:text=LEI%20No%206.932%2C%20DE%207%20DE%20JULHO%20DE%201981.&amp;text=Disp%C3%B5e%20sobre%20as%20atividades%20do%20m%C3%A9dico%20residente%20e%20d%C3%A1%20outras%20provid%C3%AAncias." ref="AL49"/>
    <hyperlink r:id="rId126" location=":~:text=LEI%20No%206.932%2C%20DE%207%20DE%20JULHO%20DE%201981.&amp;text=Disp%C3%B5e%20sobre%20as%20atividades%20do%20m%C3%A9dico%20residente%20e%20d%C3%A1%20outras%20provid%C3%AAncias." ref="AL51"/>
    <hyperlink r:id="rId127" location=":~:text=LEI%20No%206.932%2C%20DE%207%20DE%20JULHO%20DE%201981.&amp;text=Disp%C3%B5e%20sobre%20as%20atividades%20do%20m%C3%A9dico%20residente%20e%20d%C3%A1%20outras%20provid%C3%AAncias." ref="AL52"/>
    <hyperlink r:id="rId128" location=":~:text=LEI%20No%206.932%2C%20DE%207%20DE%20JULHO%20DE%201981.&amp;text=Disp%C3%B5e%20sobre%20as%20atividades%20do%20m%C3%A9dico%20residente%20e%20d%C3%A1%20outras%20provid%C3%AAncias." ref="AL53"/>
    <hyperlink r:id="rId129" location=":~:text=LEI%20No%206.932%2C%20DE%207%20DE%20JULHO%20DE%201981.&amp;text=Disp%C3%B5e%20sobre%20as%20atividades%20do%20m%C3%A9dico%20residente%20e%20d%C3%A1%20outras%20provid%C3%AAncias." ref="AL54"/>
    <hyperlink r:id="rId130" location=":~:text=LEI%20No%206.932%2C%20DE%207%20DE%20JULHO%20DE%201981.&amp;text=Disp%C3%B5e%20sobre%20as%20atividades%20do%20m%C3%A9dico%20residente%20e%20d%C3%A1%20outras%20provid%C3%AAncias." ref="AL55"/>
    <hyperlink r:id="rId131" location=":~:text=LEI%20No%206.932%2C%20DE%207%20DE%20JULHO%20DE%201981.&amp;text=Disp%C3%B5e%20sobre%20as%20atividades%20do%20m%C3%A9dico%20residente%20e%20d%C3%A1%20outras%20provid%C3%AAncias." ref="AL56"/>
    <hyperlink r:id="rId132" location=":~:text=LEI%20No%206.932%2C%20DE%207%20DE%20JULHO%20DE%201981.&amp;text=Disp%C3%B5e%20sobre%20as%20atividades%20do%20m%C3%A9dico%20residente%20e%20d%C3%A1%20outras%20provid%C3%AAncias." ref="AL57"/>
    <hyperlink r:id="rId133" location=":~:text=LEI%20No%206.932%2C%20DE%207%20DE%20JULHO%20DE%201981.&amp;text=Disp%C3%B5e%20sobre%20as%20atividades%20do%20m%C3%A9dico%20residente%20e%20d%C3%A1%20outras%20provid%C3%AAncias." ref="AL58"/>
    <hyperlink r:id="rId134" location=":~:text=LEI%20No%206.932%2C%20DE%207%20DE%20JULHO%20DE%201981.&amp;text=Disp%C3%B5e%20sobre%20as%20atividades%20do%20m%C3%A9dico%20residente%20e%20d%C3%A1%20outras%20provid%C3%AAncias." ref="AL59"/>
    <hyperlink r:id="rId135" location=":~:text=LEI%20No%206.932%2C%20DE%207%20DE%20JULHO%20DE%201981.&amp;text=Disp%C3%B5e%20sobre%20as%20atividades%20do%20m%C3%A9dico%20residente%20e%20d%C3%A1%20outras%20provid%C3%AAncias." ref="AL60"/>
    <hyperlink r:id="rId136" location=":~:text=LEI%20No%206.932%2C%20DE%207%20DE%20JULHO%20DE%201981.&amp;text=Disp%C3%B5e%20sobre%20as%20atividades%20do%20m%C3%A9dico%20residente%20e%20d%C3%A1%20outras%20provid%C3%AAncias." ref="AL61"/>
    <hyperlink r:id="rId137" location=":~:text=LEI%20No%206.932%2C%20DE%207%20DE%20JULHO%20DE%201981.&amp;text=Disp%C3%B5e%20sobre%20as%20atividades%20do%20m%C3%A9dico%20residente%20e%20d%C3%A1%20outras%20provid%C3%AAncias." ref="AL62"/>
    <hyperlink r:id="rId138" location=":~:text=LEI%20No%206.932%2C%20DE%207%20DE%20JULHO%20DE%201981.&amp;text=Disp%C3%B5e%20sobre%20as%20atividades%20do%20m%C3%A9dico%20residente%20e%20d%C3%A1%20outras%20provid%C3%AAncias." ref="AL63"/>
    <hyperlink r:id="rId139" location=":~:text=LEI%20No%206.932%2C%20DE%207%20DE%20JULHO%20DE%201981.&amp;text=Disp%C3%B5e%20sobre%20as%20atividades%20do%20m%C3%A9dico%20residente%20e%20d%C3%A1%20outras%20provid%C3%AAncias." ref="AL64"/>
    <hyperlink r:id="rId140" location=":~:text=LEI%20No%206.932%2C%20DE%207%20DE%20JULHO%20DE%201981.&amp;text=Disp%C3%B5e%20sobre%20as%20atividades%20do%20m%C3%A9dico%20residente%20e%20d%C3%A1%20outras%20provid%C3%AAncias." ref="AL65"/>
    <hyperlink r:id="rId141" location=":~:text=LEI%20No%206.932%2C%20DE%207%20DE%20JULHO%20DE%201981.&amp;text=Disp%C3%B5e%20sobre%20as%20atividades%20do%20m%C3%A9dico%20residente%20e%20d%C3%A1%20outras%20provid%C3%AAncias." ref="AL66"/>
    <hyperlink r:id="rId142" location=":~:text=LEI%20No%206.932%2C%20DE%207%20DE%20JULHO%20DE%201981.&amp;text=Disp%C3%B5e%20sobre%20as%20atividades%20do%20m%C3%A9dico%20residente%20e%20d%C3%A1%20outras%20provid%C3%AAncias." ref="AL67"/>
    <hyperlink r:id="rId143" location=":~:text=LEI%20No%206.932%2C%20DE%207%20DE%20JULHO%20DE%201981.&amp;text=Disp%C3%B5e%20sobre%20as%20atividades%20do%20m%C3%A9dico%20residente%20e%20d%C3%A1%20outras%20provid%C3%AAncias." ref="AL68"/>
    <hyperlink r:id="rId144" location=":~:text=LEI%20No%206.932%2C%20DE%207%20DE%20JULHO%20DE%201981.&amp;text=Disp%C3%B5e%20sobre%20as%20atividades%20do%20m%C3%A9dico%20residente%20e%20d%C3%A1%20outras%20provid%C3%AAncias." ref="AL69"/>
    <hyperlink r:id="rId145" location=":~:text=LEI%20No%206.932%2C%20DE%207%20DE%20JULHO%20DE%201981.&amp;text=Disp%C3%B5e%20sobre%20as%20atividades%20do%20m%C3%A9dico%20residente%20e%20d%C3%A1%20outras%20provid%C3%AAncias." ref="AL70"/>
    <hyperlink r:id="rId146" location=":~:text=LEI%20No%206.932%2C%20DE%207%20DE%20JULHO%20DE%201981.&amp;text=Disp%C3%B5e%20sobre%20as%20atividades%20do%20m%C3%A9dico%20residente%20e%20d%C3%A1%20outras%20provid%C3%AAncias." ref="AL71"/>
    <hyperlink r:id="rId147" location=":~:text=LEI%20No%206.932%2C%20DE%207%20DE%20JULHO%20DE%201981.&amp;text=Disp%C3%B5e%20sobre%20as%20atividades%20do%20m%C3%A9dico%20residente%20e%20d%C3%A1%20outras%20provid%C3%AAncias." ref="AL72"/>
    <hyperlink r:id="rId148" location=":~:text=LEI%20No%206.932%2C%20DE%207%20DE%20JULHO%20DE%201981.&amp;text=Disp%C3%B5e%20sobre%20as%20atividades%20do%20m%C3%A9dico%20residente%20e%20d%C3%A1%20outras%20provid%C3%AAncias." ref="AL73"/>
    <hyperlink r:id="rId149" location=":~:text=LEI%20No%206.932%2C%20DE%207%20DE%20JULHO%20DE%201981.&amp;text=Disp%C3%B5e%20sobre%20as%20atividades%20do%20m%C3%A9dico%20residente%20e%20d%C3%A1%20outras%20provid%C3%AAncias." ref="AL74"/>
    <hyperlink r:id="rId150" location=":~:text=LEI%20No%206.932%2C%20DE%207%20DE%20JULHO%20DE%201981.&amp;text=Disp%C3%B5e%20sobre%20as%20atividades%20do%20m%C3%A9dico%20residente%20e%20d%C3%A1%20outras%20provid%C3%AAncias." ref="AL75"/>
    <hyperlink r:id="rId151" location=":~:text=LEI%20No%206.932%2C%20DE%207%20DE%20JULHO%20DE%201981.&amp;text=Disp%C3%B5e%20sobre%20as%20atividades%20do%20m%C3%A9dico%20residente%20e%20d%C3%A1%20outras%20provid%C3%AAncias." ref="AL76"/>
    <hyperlink r:id="rId152" location=":~:text=LEI%20No%206.932%2C%20DE%207%20DE%20JULHO%20DE%201981.&amp;text=Disp%C3%B5e%20sobre%20as%20atividades%20do%20m%C3%A9dico%20residente%20e%20d%C3%A1%20outras%20provid%C3%AAncias." ref="AL77"/>
    <hyperlink r:id="rId153" ref="B78"/>
    <hyperlink r:id="rId154" ref="AL78"/>
    <hyperlink r:id="rId155" ref="AQ78"/>
    <hyperlink r:id="rId156" ref="B79"/>
    <hyperlink r:id="rId157" ref="AL79"/>
    <hyperlink r:id="rId158" ref="AQ79"/>
    <hyperlink r:id="rId159" ref="B80"/>
    <hyperlink r:id="rId160" ref="B81"/>
    <hyperlink r:id="rId161" ref="P81"/>
    <hyperlink r:id="rId162" ref="AL81"/>
    <hyperlink r:id="rId163" ref="B82"/>
    <hyperlink r:id="rId164" ref="P82"/>
    <hyperlink r:id="rId165" ref="AL82"/>
    <hyperlink r:id="rId166" ref="AN82"/>
    <hyperlink r:id="rId167" ref="B83"/>
    <hyperlink r:id="rId168" ref="B85"/>
    <hyperlink r:id="rId169" ref="B86"/>
    <hyperlink r:id="rId170" ref="P86"/>
    <hyperlink r:id="rId171" ref="AL86"/>
    <hyperlink r:id="rId172" ref="B87"/>
    <hyperlink r:id="rId173" ref="P87"/>
    <hyperlink r:id="rId174" ref="AL87"/>
    <hyperlink r:id="rId175" ref="B88"/>
    <hyperlink r:id="rId176" ref="P88"/>
    <hyperlink r:id="rId177" ref="AL88"/>
    <hyperlink r:id="rId178" ref="AQ88"/>
    <hyperlink r:id="rId179" ref="B89"/>
    <hyperlink r:id="rId180" ref="B90"/>
    <hyperlink r:id="rId181" ref="B91"/>
    <hyperlink r:id="rId182" ref="B92"/>
    <hyperlink r:id="rId183" ref="B93"/>
    <hyperlink r:id="rId184" ref="B94"/>
    <hyperlink r:id="rId185" ref="B95"/>
    <hyperlink r:id="rId186" ref="B96"/>
    <hyperlink r:id="rId187" ref="AQ96"/>
    <hyperlink r:id="rId188" ref="B97"/>
    <hyperlink r:id="rId189" ref="B98"/>
    <hyperlink r:id="rId190" ref="B99"/>
    <hyperlink r:id="rId191" ref="B100"/>
    <hyperlink r:id="rId192" ref="B101"/>
    <hyperlink r:id="rId193" ref="B102"/>
    <hyperlink r:id="rId194" ref="B103"/>
    <hyperlink r:id="rId195" ref="B104"/>
    <hyperlink r:id="rId196" ref="AQ104"/>
    <hyperlink r:id="rId197" ref="B105"/>
    <hyperlink r:id="rId198" ref="P105"/>
    <hyperlink r:id="rId199" ref="AL105"/>
    <hyperlink r:id="rId200" ref="B106"/>
    <hyperlink r:id="rId201" ref="AQ106"/>
    <hyperlink r:id="rId202" ref="B107"/>
    <hyperlink r:id="rId203" ref="B108"/>
    <hyperlink r:id="rId204" ref="B109"/>
    <hyperlink r:id="rId205" ref="B110"/>
    <hyperlink r:id="rId206" ref="P110"/>
    <hyperlink r:id="rId207" ref="AL110"/>
    <hyperlink r:id="rId208" ref="AQ110"/>
    <hyperlink r:id="rId209" ref="B111"/>
    <hyperlink r:id="rId210" ref="AQ111"/>
    <hyperlink r:id="rId211" ref="B112"/>
    <hyperlink r:id="rId212" ref="B113"/>
    <hyperlink r:id="rId213" ref="B114"/>
    <hyperlink r:id="rId214" ref="B115"/>
    <hyperlink r:id="rId215" ref="B116"/>
    <hyperlink r:id="rId216" ref="B117"/>
    <hyperlink r:id="rId217" ref="P117"/>
    <hyperlink r:id="rId218" ref="AL117"/>
    <hyperlink r:id="rId219" ref="B118"/>
    <hyperlink r:id="rId220" ref="B120"/>
    <hyperlink r:id="rId221" ref="BI120"/>
    <hyperlink r:id="rId222" ref="B121"/>
    <hyperlink r:id="rId223" ref="B122"/>
    <hyperlink r:id="rId224" ref="AQ122"/>
    <hyperlink r:id="rId225" ref="B123"/>
    <hyperlink r:id="rId226" ref="P123"/>
    <hyperlink r:id="rId227" ref="AL123"/>
    <hyperlink r:id="rId228" ref="AQ123"/>
    <hyperlink r:id="rId229" ref="B124"/>
    <hyperlink r:id="rId230" ref="B125"/>
    <hyperlink r:id="rId231" ref="P125"/>
    <hyperlink r:id="rId232" ref="AL125"/>
    <hyperlink r:id="rId233" ref="AQ125"/>
    <hyperlink r:id="rId234" ref="BH126"/>
    <hyperlink r:id="rId235" ref="B127"/>
    <hyperlink r:id="rId236" ref="P127"/>
    <hyperlink r:id="rId237" ref="AL127"/>
    <hyperlink r:id="rId238" ref="B128"/>
    <hyperlink r:id="rId239" ref="B129"/>
    <hyperlink r:id="rId240" ref="B130"/>
    <hyperlink r:id="rId241" ref="P130"/>
    <hyperlink r:id="rId242" ref="AL130"/>
    <hyperlink r:id="rId243" ref="B131"/>
    <hyperlink r:id="rId244" ref="P131"/>
    <hyperlink r:id="rId245" ref="AL131"/>
    <hyperlink r:id="rId246" ref="BI131"/>
    <hyperlink r:id="rId247" ref="B132"/>
    <hyperlink r:id="rId248" ref="B133"/>
    <hyperlink r:id="rId249" ref="B134"/>
    <hyperlink r:id="rId250" ref="B135"/>
    <hyperlink r:id="rId251" ref="B136"/>
    <hyperlink r:id="rId252" ref="B138"/>
    <hyperlink r:id="rId253" ref="P138"/>
    <hyperlink r:id="rId254" ref="AL138"/>
    <hyperlink r:id="rId255" ref="B139"/>
    <hyperlink r:id="rId256" ref="AQ139"/>
    <hyperlink r:id="rId257" ref="BH139"/>
    <hyperlink r:id="rId258" ref="B140"/>
    <hyperlink r:id="rId259" ref="AQ140"/>
    <hyperlink r:id="rId260" ref="B141"/>
    <hyperlink r:id="rId261" ref="P141"/>
    <hyperlink r:id="rId262" ref="AL141"/>
    <hyperlink r:id="rId263" ref="B142"/>
    <hyperlink r:id="rId264" ref="B143"/>
    <hyperlink r:id="rId265" ref="B144"/>
    <hyperlink r:id="rId266" ref="B145"/>
    <hyperlink r:id="rId267" ref="B146"/>
    <hyperlink r:id="rId268" ref="AQ146"/>
    <hyperlink r:id="rId269" ref="B147"/>
    <hyperlink r:id="rId270" ref="AQ147"/>
    <hyperlink r:id="rId271" ref="B148"/>
    <hyperlink r:id="rId272" ref="AQ148"/>
    <hyperlink r:id="rId273" ref="B149"/>
    <hyperlink r:id="rId274" ref="P149"/>
    <hyperlink r:id="rId275" ref="AL149"/>
    <hyperlink r:id="rId276" ref="AQ149"/>
    <hyperlink r:id="rId277" ref="B150"/>
    <hyperlink r:id="rId278" ref="P150"/>
    <hyperlink r:id="rId279" ref="AL150"/>
    <hyperlink r:id="rId280" ref="AN150"/>
    <hyperlink r:id="rId281" ref="B151"/>
    <hyperlink r:id="rId282" ref="P151"/>
    <hyperlink r:id="rId283" ref="AL151"/>
    <hyperlink r:id="rId284" ref="B152"/>
    <hyperlink r:id="rId285" ref="B153"/>
    <hyperlink r:id="rId286" ref="AQ153"/>
    <hyperlink r:id="rId287" ref="B154"/>
    <hyperlink r:id="rId288" ref="AQ154"/>
    <hyperlink r:id="rId289" ref="B155"/>
    <hyperlink r:id="rId290" ref="AN155"/>
    <hyperlink r:id="rId291" ref="AQ155"/>
    <hyperlink r:id="rId292" ref="B156"/>
    <hyperlink r:id="rId293" ref="B157"/>
    <hyperlink r:id="rId294" ref="B158"/>
    <hyperlink r:id="rId295" ref="B159"/>
    <hyperlink r:id="rId296" ref="AL159"/>
    <hyperlink r:id="rId297" ref="BI159"/>
    <hyperlink r:id="rId298" ref="B160"/>
    <hyperlink r:id="rId299" ref="AL160"/>
    <hyperlink r:id="rId300" ref="B161"/>
    <hyperlink r:id="rId301" ref="AL161"/>
    <hyperlink r:id="rId302" ref="B162"/>
    <hyperlink r:id="rId303" ref="B163"/>
    <hyperlink r:id="rId304" ref="AL163"/>
    <hyperlink r:id="rId305" ref="B164"/>
    <hyperlink r:id="rId306" ref="AL164"/>
    <hyperlink r:id="rId307" ref="B165"/>
    <hyperlink r:id="rId308" ref="AL165"/>
    <hyperlink r:id="rId309" ref="B166"/>
    <hyperlink r:id="rId310" ref="AL166"/>
    <hyperlink r:id="rId311" ref="B167"/>
    <hyperlink r:id="rId312" ref="AL167"/>
    <hyperlink r:id="rId313" ref="B168"/>
    <hyperlink r:id="rId314" ref="AL168"/>
    <hyperlink r:id="rId315" ref="B169"/>
    <hyperlink r:id="rId316" ref="AL169"/>
    <hyperlink r:id="rId317" ref="B170"/>
    <hyperlink r:id="rId318" ref="AL170"/>
    <hyperlink r:id="rId319" ref="B171"/>
    <hyperlink r:id="rId320" ref="AL171"/>
    <hyperlink r:id="rId321" ref="B172"/>
    <hyperlink r:id="rId322" ref="AL172"/>
    <hyperlink r:id="rId323" ref="B173"/>
    <hyperlink r:id="rId324" ref="AL173"/>
    <hyperlink r:id="rId325" ref="B174"/>
    <hyperlink r:id="rId326" ref="AL174"/>
    <hyperlink r:id="rId327" ref="B175"/>
    <hyperlink r:id="rId328" ref="AL175"/>
    <hyperlink r:id="rId329" ref="B176"/>
    <hyperlink r:id="rId330" ref="AL176"/>
    <hyperlink r:id="rId331" ref="B177"/>
    <hyperlink r:id="rId332" ref="AL177"/>
    <hyperlink r:id="rId333" ref="B178"/>
    <hyperlink r:id="rId334" ref="AL178"/>
    <hyperlink r:id="rId335" ref="B179"/>
    <hyperlink r:id="rId336" ref="B180"/>
    <hyperlink r:id="rId337" ref="B181"/>
    <hyperlink r:id="rId338" ref="B182"/>
    <hyperlink r:id="rId339" ref="B183"/>
    <hyperlink r:id="rId340" ref="F183"/>
    <hyperlink r:id="rId341" ref="BI183"/>
    <hyperlink r:id="rId342" ref="B184"/>
    <hyperlink r:id="rId343" ref="P184"/>
    <hyperlink r:id="rId344" ref="AL184"/>
    <hyperlink r:id="rId345" ref="F185"/>
    <hyperlink r:id="rId346" ref="B186"/>
    <hyperlink r:id="rId347" ref="F186"/>
    <hyperlink r:id="rId348" ref="P186"/>
    <hyperlink r:id="rId349" ref="AL186"/>
    <hyperlink r:id="rId350" ref="B187"/>
    <hyperlink r:id="rId351" ref="B188"/>
    <hyperlink r:id="rId352" ref="B189"/>
    <hyperlink r:id="rId353" ref="B190"/>
    <hyperlink r:id="rId354" ref="B191"/>
    <hyperlink r:id="rId355" ref="B192"/>
    <hyperlink r:id="rId356" ref="B193"/>
    <hyperlink r:id="rId357" ref="B194"/>
    <hyperlink r:id="rId358" ref="B195"/>
    <hyperlink r:id="rId359" ref="B196"/>
    <hyperlink r:id="rId360" ref="B197"/>
    <hyperlink r:id="rId361" ref="B198"/>
    <hyperlink r:id="rId362" ref="B199"/>
    <hyperlink r:id="rId363" ref="B200"/>
    <hyperlink r:id="rId364" ref="B201"/>
    <hyperlink r:id="rId365" ref="F201"/>
    <hyperlink r:id="rId366" ref="AQ201"/>
    <hyperlink r:id="rId367" ref="B202"/>
    <hyperlink r:id="rId368" ref="B203"/>
    <hyperlink r:id="rId369" ref="AQ203"/>
    <hyperlink r:id="rId370" ref="AL204"/>
    <hyperlink r:id="rId371" ref="B205"/>
    <hyperlink r:id="rId372" ref="B206"/>
    <hyperlink r:id="rId373" ref="B207"/>
    <hyperlink r:id="rId374" ref="B208"/>
    <hyperlink r:id="rId375" ref="P208"/>
    <hyperlink r:id="rId376" ref="AL208"/>
    <hyperlink r:id="rId377" ref="AN208"/>
    <hyperlink r:id="rId378" ref="AQ208"/>
    <hyperlink r:id="rId379" ref="B209"/>
    <hyperlink r:id="rId380" ref="B210"/>
    <hyperlink r:id="rId381" ref="P210"/>
    <hyperlink r:id="rId382" ref="AL210"/>
    <hyperlink r:id="rId383" ref="AQ210"/>
    <hyperlink r:id="rId384" ref="B211"/>
    <hyperlink r:id="rId385" ref="P211"/>
    <hyperlink r:id="rId386" ref="AL211"/>
    <hyperlink r:id="rId387" ref="B212"/>
    <hyperlink r:id="rId388" ref="B213"/>
    <hyperlink r:id="rId389" ref="B214"/>
    <hyperlink r:id="rId390" ref="P214"/>
    <hyperlink r:id="rId391" ref="AL214"/>
    <hyperlink r:id="rId392" ref="B215"/>
    <hyperlink r:id="rId393" ref="P215"/>
    <hyperlink r:id="rId394" ref="AL215"/>
    <hyperlink r:id="rId395" ref="AQ215"/>
    <hyperlink r:id="rId396" ref="B216"/>
    <hyperlink r:id="rId397" ref="P216"/>
    <hyperlink r:id="rId398" ref="AL216"/>
    <hyperlink r:id="rId399" ref="AQ216"/>
    <hyperlink r:id="rId400" ref="BI216"/>
    <hyperlink r:id="rId401" ref="B217"/>
    <hyperlink r:id="rId402" ref="P217"/>
    <hyperlink r:id="rId403" ref="AL217"/>
    <hyperlink r:id="rId404" ref="B218"/>
    <hyperlink r:id="rId405" ref="P218"/>
    <hyperlink r:id="rId406" ref="AL218"/>
    <hyperlink r:id="rId407" ref="AQ218"/>
    <hyperlink r:id="rId408" ref="B219"/>
    <hyperlink r:id="rId409" ref="P219"/>
    <hyperlink r:id="rId410" ref="AL219"/>
    <hyperlink r:id="rId411" ref="AQ219"/>
    <hyperlink r:id="rId412" ref="B220"/>
    <hyperlink r:id="rId413" ref="B221"/>
    <hyperlink r:id="rId414" ref="B222"/>
    <hyperlink r:id="rId415" ref="B223"/>
    <hyperlink r:id="rId416" ref="B22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17"/>
</worksheet>
</file>